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1"/>
  </bookViews>
  <sheets>
    <sheet name="📊 Dashboard" sheetId="1" r:id="rId1"/>
    <sheet name="🏥 Aesthetic Clinics" sheetId="2" r:id="rId2"/>
    <sheet name="🎓 Schools &amp; Education" sheetId="3" r:id="rId3"/>
    <sheet name="🍽️ Restaurants &amp; Food" sheetId="4" r:id="rId4"/>
    <sheet name="🏢 Corporate &amp; SME" sheetId="5" r:id="rId5"/>
    <sheet name="🛍️ Retail &amp; Fashion" sheetId="6" r:id="rId6"/>
    <sheet name="🏗️ Real Estate" sheetId="7" r:id="rId7"/>
    <sheet name="💊 Health &amp; Wellness" sheetId="8" r:id="rId8"/>
    <sheet name="📋 Master 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<sst xmlns="http://schemas.openxmlformats.org/spreadsheetml/2006/main" count="820" uniqueCount="357">
  <si>
    <t>🇵🇰  PAKISTAN CLIENT LEAD TRACKER  —  DASHBOARD</t>
  </si>
  <si>
    <t>PIPELINE SUMMARY BY INDUSTRY</t>
  </si>
  <si>
    <t>🏥 Aesthetic Clinics</t>
  </si>
  <si>
    <t>🎓 Schools / Edu</t>
  </si>
  <si>
    <t>🍽️ Restaurants</t>
  </si>
  <si>
    <t>🏢 Corporate / SME</t>
  </si>
  <si>
    <t>🛍️ Retail / Fashion</t>
  </si>
  <si>
    <t>—</t>
  </si>
  <si>
    <t>STATUS PIPELINE</t>
  </si>
  <si>
    <t>HOW TO USE THIS TRACKER</t>
  </si>
  <si>
    <t>Status</t>
  </si>
  <si>
    <t>Count</t>
  </si>
  <si>
    <t>% of Total</t>
  </si>
  <si>
    <t>① Use each industry tab to log your Pakistani leads.</t>
  </si>
  <si>
    <t>Not Contacted</t>
  </si>
  <si>
    <t>② Fill in all columns — especially Email, Phone &amp; City.</t>
  </si>
  <si>
    <t>Contacted</t>
  </si>
  <si>
    <t>③ Update the STATUS column after each interaction.</t>
  </si>
  <si>
    <t>Interested</t>
  </si>
  <si>
    <t>④ Set PRIORITY based on response rate &amp; deal size.</t>
  </si>
  <si>
    <t>Proposal Sent</t>
  </si>
  <si>
    <t>⑤ Log every call/email in the LAST CONTACT &amp; NOTES columns.</t>
  </si>
  <si>
    <t>Closed Won</t>
  </si>
  <si>
    <t>⑥ Use the FOLLOW-UP DATE to stay on schedule.</t>
  </si>
  <si>
    <t>Closed Lost</t>
  </si>
  <si>
    <t>⑦ Dashboard KPIs update as you fill the sheets.</t>
  </si>
  <si>
    <t>Follow Up</t>
  </si>
  <si>
    <t>🏥  AESTHETIC CLINICS — PAKISTAN LEAD TRACKER</t>
  </si>
  <si>
    <t>Total Leads →</t>
  </si>
  <si>
    <t>Emails Found →</t>
  </si>
  <si>
    <t>Closed Won →</t>
  </si>
  <si>
    <t>High Priority →</t>
  </si>
  <si>
    <t>#</t>
  </si>
  <si>
    <t>Business Name</t>
  </si>
  <si>
    <t>Contact Person</t>
  </si>
  <si>
    <t>Designation</t>
  </si>
  <si>
    <t>Phone / WhatsApp</t>
  </si>
  <si>
    <t>Email</t>
  </si>
  <si>
    <t>City</t>
  </si>
  <si>
    <t>Area / Locality</t>
  </si>
  <si>
    <t>Instagram / Social</t>
  </si>
  <si>
    <t>Website</t>
  </si>
  <si>
    <t>Priority</t>
  </si>
  <si>
    <t>First Contact Date</t>
  </si>
  <si>
    <t>Follow-Up Date</t>
  </si>
  <si>
    <t>Service Offered</t>
  </si>
  <si>
    <t>Quoted Price (PKR)</t>
  </si>
  <si>
    <t>Notes / Remarks</t>
  </si>
  <si>
    <t>Noor Aesthetic</t>
  </si>
  <si>
    <t>Clinic Owner</t>
  </si>
  <si>
    <t xml:space="preserve">0310 4263231
</t>
  </si>
  <si>
    <t>Islamabad</t>
  </si>
  <si>
    <t>G-9 Markaz</t>
  </si>
  <si>
    <t>None</t>
  </si>
  <si>
    <t>High</t>
  </si>
  <si>
    <t>Social Media Management</t>
  </si>
  <si>
    <t>No instagram</t>
  </si>
  <si>
    <t>AS aesthetics &amp; physio Center</t>
  </si>
  <si>
    <t>Manager</t>
  </si>
  <si>
    <t>0335-4028918</t>
  </si>
  <si>
    <t>Lahore</t>
  </si>
  <si>
    <t>DHA Phase 6</t>
  </si>
  <si>
    <t>https://www.instagram.com/as_aesthetics_and_physio?utm_source=ig_web_button_share_sheet&amp;igsh=ZDNlZDc0MzIxNw==</t>
  </si>
  <si>
    <t>low social media followers, content needs work</t>
  </si>
  <si>
    <t>Skin Lab Aesthetics</t>
  </si>
  <si>
    <t>Gujranwala</t>
  </si>
  <si>
    <t>https://www.instagram.com/skinlab.pk</t>
  </si>
  <si>
    <t>Low</t>
  </si>
  <si>
    <t>Ritual Aesthetics</t>
  </si>
  <si>
    <t>+92 300 1604489</t>
  </si>
  <si>
    <t>https://www.instagram.com/ritualaesthetics.pk</t>
  </si>
  <si>
    <t>https://ritualaesthetics.pk/</t>
  </si>
  <si>
    <t>Medium</t>
  </si>
  <si>
    <t>Web development</t>
  </si>
  <si>
    <t>Olrich Beauty Aesthetic Clinic &amp; Med Spa</t>
  </si>
  <si>
    <t>0300-2910660</t>
  </si>
  <si>
    <t>DHA Phase 6,</t>
  </si>
  <si>
    <t>https://www.instagram.com/olrichbeauty/</t>
  </si>
  <si>
    <t>low social media followers</t>
  </si>
  <si>
    <t>Divine Aesthetic</t>
  </si>
  <si>
    <t xml:space="preserve"> 0301-9868666</t>
  </si>
  <si>
    <t>Main Raiwanind Road</t>
  </si>
  <si>
    <t>https://www.instagram.com/divineaestheticlaserclinic/</t>
  </si>
  <si>
    <t>https://divineasthetics.com/</t>
  </si>
  <si>
    <t>🎓  SCHOOLS &amp; EDUCATION — PAKISTAN LEAD TRACKER</t>
  </si>
  <si>
    <t>Last Contact Date</t>
  </si>
  <si>
    <t>Beacon House (Pvt)</t>
  </si>
  <si>
    <t>Mr. Tariq Siddiqui</t>
  </si>
  <si>
    <t>Principal</t>
  </si>
  <si>
    <t>0321-2223344</t>
  </si>
  <si>
    <t>G-9</t>
  </si>
  <si>
    <t>@beaconhousepk</t>
  </si>
  <si>
    <t>beaconhouse.edu.pk</t>
  </si>
  <si>
    <t>🔴 High</t>
  </si>
  <si>
    <t>Digital Branding</t>
  </si>
  <si>
    <t>80,000</t>
  </si>
  <si>
    <t>Chain school — high value</t>
  </si>
  <si>
    <t>City School</t>
  </si>
  <si>
    <t>Ms. Nadia Fatima</t>
  </si>
  <si>
    <t>Marketing Head</t>
  </si>
  <si>
    <t>0311-5556677</t>
  </si>
  <si>
    <t>nadia@cityschool.edu.pk</t>
  </si>
  <si>
    <t>Gulberg</t>
  </si>
  <si>
    <t>@thecityschoolpk</t>
  </si>
  <si>
    <t>cityschool.edu.pk</t>
  </si>
  <si>
    <t>28-Apr-26</t>
  </si>
  <si>
    <t>05-May-26</t>
  </si>
  <si>
    <t>Social Media Mgmt</t>
  </si>
  <si>
    <t>55,000</t>
  </si>
  <si>
    <t>Awaiting decision</t>
  </si>
  <si>
    <t>Roots IVY</t>
  </si>
  <si>
    <t>Mr. Kamran Ali</t>
  </si>
  <si>
    <t>Admin</t>
  </si>
  <si>
    <t>0333-9990011</t>
  </si>
  <si>
    <t>Rawalpindi</t>
  </si>
  <si>
    <t>Saddar</t>
  </si>
  <si>
    <t>@rootsivy</t>
  </si>
  <si>
    <t>rootsivy.edu.pk</t>
  </si>
  <si>
    <t>🟡 Medium</t>
  </si>
  <si>
    <t>30-Apr-26</t>
  </si>
  <si>
    <t>08-May-26</t>
  </si>
  <si>
    <t>Google Ads</t>
  </si>
  <si>
    <t>35,000</t>
  </si>
  <si>
    <t>Interested in term plan</t>
  </si>
  <si>
    <t>Star Kids Academy</t>
  </si>
  <si>
    <t>Ms. Fatima Noor</t>
  </si>
  <si>
    <t>Owner</t>
  </si>
  <si>
    <t>0344-6665544</t>
  </si>
  <si>
    <t>Peshawar</t>
  </si>
  <si>
    <t>Hayatabad</t>
  </si>
  <si>
    <t>@starkidspk</t>
  </si>
  <si>
    <t>🟢 Low</t>
  </si>
  <si>
    <t>25,000</t>
  </si>
  <si>
    <t>Small private school</t>
  </si>
  <si>
    <t>The Learning Tree</t>
  </si>
  <si>
    <t>Mr. Bilal Shahid</t>
  </si>
  <si>
    <t>0300-1112233</t>
  </si>
  <si>
    <t>bilal@learningtree.pk</t>
  </si>
  <si>
    <t>Karachi</t>
  </si>
  <si>
    <t>PECHS</t>
  </si>
  <si>
    <t>@learningtreepk</t>
  </si>
  <si>
    <t>learningtree.edu.pk</t>
  </si>
  <si>
    <t>02-May-26</t>
  </si>
  <si>
    <t>09-May-26</t>
  </si>
  <si>
    <t>Admissions Campaign</t>
  </si>
  <si>
    <t>40,000</t>
  </si>
  <si>
    <t>Good budget — confirm scope</t>
  </si>
  <si>
    <t>🍽️  RESTAURANTS &amp; FOOD — PAKISTAN LEAD TRACKER</t>
  </si>
  <si>
    <t>Salt'n Pepper</t>
  </si>
  <si>
    <t>Ali Hassan</t>
  </si>
  <si>
    <t>0321-8889900</t>
  </si>
  <si>
    <t>MM Alam Rd</t>
  </si>
  <si>
    <t>@saltnpepperpk</t>
  </si>
  <si>
    <t>saltnpepper.pk</t>
  </si>
  <si>
    <t>Food Photography + IG</t>
  </si>
  <si>
    <t>Multiple branches</t>
  </si>
  <si>
    <t>Savour Foods</t>
  </si>
  <si>
    <t>Umer Farooq</t>
  </si>
  <si>
    <t>GM</t>
  </si>
  <si>
    <t>0333-4445566</t>
  </si>
  <si>
    <t>umer@savourfoods.pk</t>
  </si>
  <si>
    <t>Murree Road</t>
  </si>
  <si>
    <t>@savourfoods</t>
  </si>
  <si>
    <t>savourfoods.pk</t>
  </si>
  <si>
    <t>01-May-26</t>
  </si>
  <si>
    <t>06-May-26</t>
  </si>
  <si>
    <t>Facebook Ads</t>
  </si>
  <si>
    <t>30,000</t>
  </si>
  <si>
    <t>Seasonal campaign interest</t>
  </si>
  <si>
    <t>Rooftop Grill</t>
  </si>
  <si>
    <t>Sana Mirza</t>
  </si>
  <si>
    <t>0311-2221100</t>
  </si>
  <si>
    <t>Jinnah Ave</t>
  </si>
  <si>
    <t>@rooftopgrillpk</t>
  </si>
  <si>
    <t>Influencer Collab</t>
  </si>
  <si>
    <t>New restaurant launch</t>
  </si>
  <si>
    <t>Fuchsia Kitchen</t>
  </si>
  <si>
    <t>Ms. Hira Baig</t>
  </si>
  <si>
    <t>0300-7776655</t>
  </si>
  <si>
    <t>Zamzama</t>
  </si>
  <si>
    <t>@fuchsiakitchen</t>
  </si>
  <si>
    <t>fuchsiakitchen.com</t>
  </si>
  <si>
    <t>Instagram Management</t>
  </si>
  <si>
    <t>18,000</t>
  </si>
  <si>
    <t>Home-based growing brand</t>
  </si>
  <si>
    <t>🏢  CORPORATE &amp; SME — PAKISTAN LEAD TRACKER</t>
  </si>
  <si>
    <t>Tech Soft PK</t>
  </si>
  <si>
    <t>Mr. Imran Butt</t>
  </si>
  <si>
    <t>CEO</t>
  </si>
  <si>
    <t>0321-3334455</t>
  </si>
  <si>
    <t>imran@techsoftpk.com</t>
  </si>
  <si>
    <t>Blue Area</t>
  </si>
  <si>
    <t>@techsoftpk</t>
  </si>
  <si>
    <t>techsoftpk.com</t>
  </si>
  <si>
    <t>LinkedIn Ads + SEO</t>
  </si>
  <si>
    <t>75,000</t>
  </si>
  <si>
    <t>B2B software firm</t>
  </si>
  <si>
    <t>Textile Hub Pvt</t>
  </si>
  <si>
    <t>Ms. Rukhsana Shah</t>
  </si>
  <si>
    <t>Director</t>
  </si>
  <si>
    <t>0300-6667788</t>
  </si>
  <si>
    <t>Faisalabad</t>
  </si>
  <si>
    <t>D-Ground</t>
  </si>
  <si>
    <t>@textilehubpk</t>
  </si>
  <si>
    <t>Export Marketing</t>
  </si>
  <si>
    <t>50,000</t>
  </si>
  <si>
    <t>US/UK buyer targeting</t>
  </si>
  <si>
    <t>Alpha Traders</t>
  </si>
  <si>
    <t>Adnan Qureshi</t>
  </si>
  <si>
    <t>Partner</t>
  </si>
  <si>
    <t>0333-1112222</t>
  </si>
  <si>
    <t>SITE Area</t>
  </si>
  <si>
    <t>Website + Google Ads</t>
  </si>
  <si>
    <t>Import/Export firm</t>
  </si>
  <si>
    <t>Sky Logistics</t>
  </si>
  <si>
    <t>Omar Sheikh</t>
  </si>
  <si>
    <t>COO</t>
  </si>
  <si>
    <t>0345-9998877</t>
  </si>
  <si>
    <t>omar@skylogistics.pk</t>
  </si>
  <si>
    <t>Johar Town</t>
  </si>
  <si>
    <t>@skylogisticspk</t>
  </si>
  <si>
    <t>skylogistics.pk</t>
  </si>
  <si>
    <t>07-May-26</t>
  </si>
  <si>
    <t>Corporate Branding</t>
  </si>
  <si>
    <t>90,000</t>
  </si>
  <si>
    <t>Large team — good budget</t>
  </si>
  <si>
    <t>🛍️  RETAIL &amp; FASHION — PAKISTAN LEAD TRACKER</t>
  </si>
  <si>
    <t>Khaadi Concept</t>
  </si>
  <si>
    <t>Ms. Aimen Raza</t>
  </si>
  <si>
    <t>Store Manager</t>
  </si>
  <si>
    <t>0321-0001122</t>
  </si>
  <si>
    <t>@khaadipk</t>
  </si>
  <si>
    <t>khaadi.com</t>
  </si>
  <si>
    <t>Social Ads</t>
  </si>
  <si>
    <t>Franchise inquiry</t>
  </si>
  <si>
    <t>Zara PK (Local)</t>
  </si>
  <si>
    <t>Hassan Ali</t>
  </si>
  <si>
    <t>0311-5559988</t>
  </si>
  <si>
    <t>hassan@zarapk.pk</t>
  </si>
  <si>
    <t>Tariq Rd</t>
  </si>
  <si>
    <t>@zarapk_official</t>
  </si>
  <si>
    <t>03-May-26</t>
  </si>
  <si>
    <t>10-May-26</t>
  </si>
  <si>
    <t>Instagram Reels + Ads</t>
  </si>
  <si>
    <t>Fashion launch in June</t>
  </si>
  <si>
    <t>Cloth House</t>
  </si>
  <si>
    <t>Noor Fatima</t>
  </si>
  <si>
    <t>0300-2223344</t>
  </si>
  <si>
    <t>Raja Bazaar</t>
  </si>
  <si>
    <t>Basic IG Page Setup</t>
  </si>
  <si>
    <t>15,000</t>
  </si>
  <si>
    <t>Traditional retail, new to digital</t>
  </si>
  <si>
    <t>Style Street</t>
  </si>
  <si>
    <t>Mahnoor Iqbal</t>
  </si>
  <si>
    <t>0333-6665544</t>
  </si>
  <si>
    <t>mahnoor@stylestreet.pk</t>
  </si>
  <si>
    <t>F-10 Markaz</t>
  </si>
  <si>
    <t>@stylestreetpk</t>
  </si>
  <si>
    <t>stylestreet.pk</t>
  </si>
  <si>
    <t>Full Digital Package</t>
  </si>
  <si>
    <t>70,000</t>
  </si>
  <si>
    <t>Growing fashion chain</t>
  </si>
  <si>
    <t>🏗️  REAL ESTATE — PAKISTAN LEAD TRACKER</t>
  </si>
  <si>
    <t>Sky Properties</t>
  </si>
  <si>
    <t>Mr. Asad Malik</t>
  </si>
  <si>
    <t>Broker</t>
  </si>
  <si>
    <t>0321-4445566</t>
  </si>
  <si>
    <t>asad@skyproperties.pk</t>
  </si>
  <si>
    <t>G-11</t>
  </si>
  <si>
    <t>@skypropertiespk</t>
  </si>
  <si>
    <t>skyproperties.pk</t>
  </si>
  <si>
    <t>Property Listings + SEO</t>
  </si>
  <si>
    <t>60,000</t>
  </si>
  <si>
    <t>Active listings, needs leads</t>
  </si>
  <si>
    <t>DHA Homes</t>
  </si>
  <si>
    <t>Ms. Sobia Khan</t>
  </si>
  <si>
    <t>Marketing</t>
  </si>
  <si>
    <t>0333-8889900</t>
  </si>
  <si>
    <t>@dhahomeslahore</t>
  </si>
  <si>
    <t>Facebook Lead Ads</t>
  </si>
  <si>
    <t>45,000</t>
  </si>
  <si>
    <t>DHA project marketing</t>
  </si>
  <si>
    <t>Bahria Properties</t>
  </si>
  <si>
    <t>Usman Tariq</t>
  </si>
  <si>
    <t>0300-5556677</t>
  </si>
  <si>
    <t>Bahria Phase 7</t>
  </si>
  <si>
    <t>@bahriaproperties</t>
  </si>
  <si>
    <t>Instagram Page</t>
  </si>
  <si>
    <t>20,000</t>
  </si>
  <si>
    <t>Individual broker</t>
  </si>
  <si>
    <t>💊  HEALTH &amp; WELLNESS — PAKISTAN LEAD TRACKER</t>
  </si>
  <si>
    <t>Fit Zone Gym</t>
  </si>
  <si>
    <t>Khalid Mehmood</t>
  </si>
  <si>
    <t>0321-6667788</t>
  </si>
  <si>
    <t>khalid@fitzone.pk</t>
  </si>
  <si>
    <t>Bahria Town</t>
  </si>
  <si>
    <t>@fitzonefit</t>
  </si>
  <si>
    <t>fitzone.pk</t>
  </si>
  <si>
    <t>Member Acquisition Ads</t>
  </si>
  <si>
    <t>New gym — launch marketing</t>
  </si>
  <si>
    <t>Shifa Nutrition</t>
  </si>
  <si>
    <t>Dr. Amna Sajid</t>
  </si>
  <si>
    <t>Nutritionist</t>
  </si>
  <si>
    <t>0333-2223344</t>
  </si>
  <si>
    <t>amna@shifanutrition.pk</t>
  </si>
  <si>
    <t>F-8</t>
  </si>
  <si>
    <t>@shifanutrition</t>
  </si>
  <si>
    <t>shifanutrition.pk</t>
  </si>
  <si>
    <t>Content + IG</t>
  </si>
  <si>
    <t>Online consultations offered</t>
  </si>
  <si>
    <t>MedPlus Pharmacy</t>
  </si>
  <si>
    <t>Mr. Faisal Siddiqui</t>
  </si>
  <si>
    <t>0300-9990011</t>
  </si>
  <si>
    <t>North Nazimabad</t>
  </si>
  <si>
    <t>medplus.pk</t>
  </si>
  <si>
    <t>Multi-branch pharmacy chain</t>
  </si>
  <si>
    <t>📋  PAKISTAN LEADS — MASTER LOG (All Industries)</t>
  </si>
  <si>
    <t>Industry</t>
  </si>
  <si>
    <t>Phone</t>
  </si>
  <si>
    <t>Last Contact</t>
  </si>
  <si>
    <t>Service</t>
  </si>
  <si>
    <t>Value (PKR)</t>
  </si>
  <si>
    <t>Notes</t>
  </si>
  <si>
    <t>Aesthetic Clinics</t>
  </si>
  <si>
    <t>Glow Aesthetics</t>
  </si>
  <si>
    <t>Dr. Ayesha Malik</t>
  </si>
  <si>
    <t>0321-5551234</t>
  </si>
  <si>
    <t>Social Media Mktg</t>
  </si>
  <si>
    <t>Priority — 3 branches</t>
  </si>
  <si>
    <t>Skin Studio PK</t>
  </si>
  <si>
    <t>Sara Qureshi</t>
  </si>
  <si>
    <t>0333-7778899</t>
  </si>
  <si>
    <t>sara@skinstudiopk.com</t>
  </si>
  <si>
    <t>SEO + Content</t>
  </si>
  <si>
    <t>Follow up needed</t>
  </si>
  <si>
    <t>Luxe Med Spa</t>
  </si>
  <si>
    <t>Dr. Hamza Raza</t>
  </si>
  <si>
    <t>0300-4441122</t>
  </si>
  <si>
    <t>Website Redesign</t>
  </si>
  <si>
    <t>No digital presence</t>
  </si>
  <si>
    <t>Education</t>
  </si>
  <si>
    <t>Good budget</t>
  </si>
  <si>
    <t>Restaurants</t>
  </si>
  <si>
    <t>Food Photography+IG</t>
  </si>
  <si>
    <t>Seasonal interest</t>
  </si>
  <si>
    <t>Corporate</t>
  </si>
  <si>
    <t>Large team</t>
  </si>
  <si>
    <t>Retail</t>
  </si>
  <si>
    <t>Full Digital Pkg</t>
  </si>
  <si>
    <t>Growing chain</t>
  </si>
  <si>
    <t>IG Reels + Ads</t>
  </si>
  <si>
    <t>June launch</t>
  </si>
  <si>
    <t>Real Estate</t>
  </si>
  <si>
    <t>Property+SEO</t>
  </si>
  <si>
    <t>Active listings</t>
  </si>
  <si>
    <t>Health</t>
  </si>
  <si>
    <t>Online consults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</si>
</sst>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856404"/>
      <name val="Arial"/>
      <charset val="134"/>
    </font>
    <font>
      <b/>
      <sz val="10"/>
      <color rgb="FF721C24"/>
      <name val="Arial"/>
      <charset val="134"/>
    </font>
    <font>
      <b/>
      <sz val="10"/>
      <color rgb="FF004085"/>
      <name val="Arial"/>
      <charset val="134"/>
    </font>
    <font>
      <b/>
      <sz val="10"/>
      <color rgb="FF155724"/>
      <name val="Arial"/>
      <charset val="134"/>
    </font>
    <font>
      <b/>
      <sz val="10"/>
      <color rgb="FF000000"/>
      <name val="Arial"/>
      <charset val="134"/>
    </font>
    <font>
      <b/>
      <sz val="10"/>
      <color rgb="FF1A3557"/>
      <name val="Arial"/>
      <charset val="134"/>
    </font>
    <font>
      <u/>
      <sz val="11"/>
      <color rgb="FF0000FF"/>
      <name val="Calibri"/>
      <charset val="0"/>
      <scheme val="minor"/>
    </font>
    <font>
      <sz val="10.5"/>
      <color rgb="FF0C1014"/>
      <name val="Segoe UI"/>
      <charset val="134"/>
    </font>
    <font>
      <sz val="10.5"/>
      <color rgb="FF6A717A"/>
      <name val="Segoe UI"/>
      <charset val="134"/>
    </font>
    <font>
      <b/>
      <sz val="16"/>
      <color rgb="FFFFFFFF"/>
      <name val="Arial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8"/>
      <color rgb="FF1A3557"/>
      <name val="Arial"/>
      <charset val="134"/>
    </font>
    <font>
      <sz val="10"/>
      <color rgb="FF1A1A1A"/>
      <name val="Arial"/>
      <charset val="134"/>
    </font>
    <font>
      <b/>
      <sz val="10"/>
      <color rgb="FF4A235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1A35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0E6655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D1ECE1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1F618D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D98880"/>
        <bgColor indexed="64"/>
      </patternFill>
    </fill>
    <fill>
      <patternFill patternType="solid">
        <fgColor rgb="FF7FB3D3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F7DC6F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7E4"/>
      </left>
      <right style="thin">
        <color rgb="FFD0D7E4"/>
      </right>
      <top style="thin">
        <color rgb="FFD0D7E4"/>
      </top>
      <bottom style="thin">
        <color rgb="FFD0D7E4"/>
      </bottom>
      <diagonal/>
    </border>
    <border>
      <left/>
      <right/>
      <top style="thin">
        <color rgb="FFD0D7E4"/>
      </top>
      <bottom style="thin">
        <color rgb="FFD0D7E4"/>
      </bottom>
      <diagonal/>
    </border>
    <border>
      <left/>
      <right style="thin">
        <color rgb="FFD0D7E4"/>
      </right>
      <top style="thin">
        <color rgb="FFD0D7E4"/>
      </top>
      <bottom style="thin">
        <color rgb="FFD0D7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28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9" borderId="7" applyNumberFormat="0" applyAlignment="0" applyProtection="0">
      <alignment vertical="center"/>
    </xf>
    <xf numFmtId="0" fontId="28" fillId="30" borderId="8" applyNumberFormat="0" applyAlignment="0" applyProtection="0">
      <alignment vertical="center"/>
    </xf>
    <xf numFmtId="0" fontId="29" fillId="30" borderId="7" applyNumberFormat="0" applyAlignment="0" applyProtection="0">
      <alignment vertical="center"/>
    </xf>
    <xf numFmtId="0" fontId="30" fillId="31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0" fillId="3" borderId="1" xfId="6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0" xfId="0" applyFont="1"/>
    <xf numFmtId="0" fontId="10" fillId="6" borderId="1" xfId="6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3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ill>
        <patternFill patternType="solid">
          <bgColor rgb="FFFFE3AD"/>
        </patternFill>
      </fill>
    </dxf>
    <dxf>
      <fill>
        <patternFill patternType="solid">
          <bgColor rgb="FFDAFFC9"/>
        </patternFill>
      </fill>
    </dxf>
    <dxf>
      <fill>
        <patternFill patternType="solid">
          <bgColor rgb="FFF9DBFF"/>
        </patternFill>
      </fill>
    </dxf>
    <dxf>
      <fill>
        <patternFill patternType="solid">
          <bgColor rgb="FFA5FF73"/>
        </patternFill>
      </fill>
    </dxf>
    <dxf>
      <fill>
        <patternFill patternType="solid">
          <bgColor rgb="FFC9E5FF"/>
        </patternFill>
      </fill>
    </dxf>
    <dxf>
      <fill>
        <patternFill patternType="solid">
          <bgColor rgb="FF9FFF7D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7F6B6"/>
        </patternFill>
      </fill>
    </dxf>
    <dxf>
      <fill>
        <patternFill patternType="solid">
          <bgColor rgb="FFFA9B34"/>
        </patternFill>
      </fill>
    </dxf>
    <dxf>
      <fill>
        <patternFill patternType="solid">
          <bgColor rgb="FFFFCDCD"/>
        </patternFill>
      </fill>
    </dxf>
    <dxf>
      <fill>
        <patternFill patternType="solid">
          <bgColor rgb="FFFFF6B5"/>
        </patternFill>
      </fill>
    </dxf>
    <dxf>
      <fill>
        <patternFill patternType="solid">
          <bgColor rgb="FFE3FAFF"/>
        </patternFill>
      </fill>
    </dxf>
  </dxfs>
  <tableStyles count="0" defaultTableStyle="TableStyleMedium9" defaultPivotStyle="PivotStyleLight16"/>
  <colors>
    <mruColors>
      <color rgb="00FFE3AD"/>
      <color rgb="00FFF6B5"/>
      <color rgb="00E3FAFF"/>
      <color rgb="00DAFFC9"/>
      <color rgb="00F9DBFF"/>
      <color rgb="00BBE191"/>
      <color rgb="00A5FF73"/>
      <color rgb="009FFF7D"/>
      <color rgb="00FB9E13"/>
      <color rgb="00FA9B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ivineasthetics.com/" TargetMode="External"/><Relationship Id="rId6" Type="http://schemas.openxmlformats.org/officeDocument/2006/relationships/hyperlink" Target="https://www.instagram.com/divineaestheticlaserclinic/" TargetMode="External"/><Relationship Id="rId5" Type="http://schemas.openxmlformats.org/officeDocument/2006/relationships/hyperlink" Target="https://www.instagram.com/olrichbeauty/" TargetMode="External"/><Relationship Id="rId4" Type="http://schemas.openxmlformats.org/officeDocument/2006/relationships/hyperlink" Target="https://ritualaesthetics.pk/" TargetMode="External"/><Relationship Id="rId3" Type="http://schemas.openxmlformats.org/officeDocument/2006/relationships/hyperlink" Target="https://www.instagram.com/ritualaesthetics.pk" TargetMode="External"/><Relationship Id="rId2" Type="http://schemas.openxmlformats.org/officeDocument/2006/relationships/hyperlink" Target="https://www.instagram.com/skinlab.pk" TargetMode="External"/><Relationship Id="rId1" Type="http://schemas.openxmlformats.org/officeDocument/2006/relationships/hyperlink" Target="https://www.instagram.com/as_aesthetics_and_physio?utm_source=ig_web_button_share_sheet&amp;igsh=ZDNlZDc0MzIxN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0"/>
  <sheetViews>
    <sheetView showGridLines="0" zoomScale="70" zoomScaleNormal="70" topLeftCell="A7" workbookViewId="0">
      <selection activeCell="A1" sqref="A1"/>
    </sheetView>
  </sheetViews>
  <sheetFormatPr defaultColWidth="9" defaultRowHeight="14.5"/>
  <cols>
    <col min="1" max="1" width="2" customWidth="1"/>
    <col min="2" max="2" width="18" customWidth="1"/>
    <col min="3" max="3" width="10" customWidth="1"/>
    <col min="4" max="4" width="12" customWidth="1"/>
    <col min="6" max="6" width="11" customWidth="1"/>
    <col min="7" max="7" width="6" customWidth="1"/>
    <col min="10" max="10" width="11" customWidth="1"/>
    <col min="11" max="11" width="6" customWidth="1"/>
    <col min="14" max="14" width="11" customWidth="1"/>
    <col min="15" max="15" width="6" customWidth="1"/>
    <col min="18" max="18" width="11" customWidth="1"/>
    <col min="19" max="19" width="6" customWidth="1"/>
  </cols>
  <sheetData>
    <row r="1" ht="8" customHeight="1"/>
    <row r="2" ht="8" customHeight="1"/>
    <row r="3" ht="8" customHeight="1"/>
    <row r="4" ht="40" customHeight="1" spans="2:20">
      <c r="B4" s="40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6" ht="28" customHeight="1" spans="2:20">
      <c r="B6" s="41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</row>
    <row r="7" ht="22" customHeight="1" spans="2:20">
      <c r="B7" s="42" t="s">
        <v>2</v>
      </c>
      <c r="C7" s="3"/>
      <c r="F7" s="43" t="s">
        <v>3</v>
      </c>
      <c r="G7" s="3"/>
      <c r="J7" s="44" t="s">
        <v>4</v>
      </c>
      <c r="K7" s="3"/>
      <c r="N7" s="45" t="s">
        <v>5</v>
      </c>
      <c r="O7" s="3"/>
      <c r="R7" s="46" t="s">
        <v>6</v>
      </c>
      <c r="S7" s="3"/>
    </row>
    <row r="8" ht="36" customHeight="1" spans="2:20">
      <c r="B8" s="47" t="s">
        <v>7</v>
      </c>
      <c r="C8" s="3"/>
      <c r="F8" s="47" t="s">
        <v>7</v>
      </c>
      <c r="G8" s="3"/>
      <c r="J8" s="47" t="s">
        <v>7</v>
      </c>
      <c r="K8" s="3"/>
      <c r="N8" s="47" t="s">
        <v>7</v>
      </c>
      <c r="O8" s="3"/>
      <c r="R8" s="47" t="s">
        <v>7</v>
      </c>
      <c r="S8" s="3"/>
    </row>
    <row r="12" ht="28" customHeight="1" spans="2:20">
      <c r="B12" s="48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3"/>
      <c r="N12" s="48" t="s">
        <v>9</v>
      </c>
      <c r="O12" s="2"/>
      <c r="P12" s="2"/>
      <c r="Q12" s="2"/>
      <c r="R12" s="2"/>
      <c r="S12" s="2"/>
      <c r="T12" s="3"/>
    </row>
    <row r="13" ht="20" customHeight="1" spans="2:20">
      <c r="B13" s="49" t="s">
        <v>10</v>
      </c>
      <c r="C13" s="49" t="s">
        <v>11</v>
      </c>
      <c r="D13" s="49" t="s">
        <v>12</v>
      </c>
      <c r="N13" s="50" t="s">
        <v>13</v>
      </c>
      <c r="O13" s="2"/>
      <c r="P13" s="2"/>
      <c r="Q13" s="2"/>
      <c r="R13" s="2"/>
      <c r="S13" s="2"/>
      <c r="T13" s="3"/>
    </row>
    <row r="14" ht="20" customHeight="1" spans="2:20">
      <c r="B14" s="6" t="s">
        <v>14</v>
      </c>
      <c r="C14" s="51" t="s">
        <v>7</v>
      </c>
      <c r="D14" s="51" t="s">
        <v>7</v>
      </c>
      <c r="N14" s="50" t="s">
        <v>15</v>
      </c>
      <c r="O14" s="2"/>
      <c r="P14" s="2"/>
      <c r="Q14" s="2"/>
      <c r="R14" s="2"/>
      <c r="S14" s="2"/>
      <c r="T14" s="3"/>
    </row>
    <row r="15" ht="20" customHeight="1" spans="2:20">
      <c r="B15" s="9" t="s">
        <v>16</v>
      </c>
      <c r="C15" s="51" t="s">
        <v>7</v>
      </c>
      <c r="D15" s="51" t="s">
        <v>7</v>
      </c>
      <c r="N15" s="50" t="s">
        <v>17</v>
      </c>
      <c r="O15" s="2"/>
      <c r="P15" s="2"/>
      <c r="Q15" s="2"/>
      <c r="R15" s="2"/>
      <c r="S15" s="2"/>
      <c r="T15" s="3"/>
    </row>
    <row r="16" ht="20" customHeight="1" spans="2:20">
      <c r="B16" s="10" t="s">
        <v>18</v>
      </c>
      <c r="C16" s="51" t="s">
        <v>7</v>
      </c>
      <c r="D16" s="51" t="s">
        <v>7</v>
      </c>
      <c r="N16" s="50" t="s">
        <v>19</v>
      </c>
      <c r="O16" s="2"/>
      <c r="P16" s="2"/>
      <c r="Q16" s="2"/>
      <c r="R16" s="2"/>
      <c r="S16" s="2"/>
      <c r="T16" s="3"/>
    </row>
    <row r="17" ht="20" customHeight="1" spans="2:20">
      <c r="B17" s="6" t="s">
        <v>20</v>
      </c>
      <c r="C17" s="51" t="s">
        <v>7</v>
      </c>
      <c r="D17" s="51" t="s">
        <v>7</v>
      </c>
      <c r="N17" s="50" t="s">
        <v>21</v>
      </c>
      <c r="O17" s="2"/>
      <c r="P17" s="2"/>
      <c r="Q17" s="2"/>
      <c r="R17" s="2"/>
      <c r="S17" s="2"/>
      <c r="T17" s="3"/>
    </row>
    <row r="18" ht="20" customHeight="1" spans="2:20">
      <c r="B18" s="18" t="s">
        <v>22</v>
      </c>
      <c r="C18" s="51" t="s">
        <v>7</v>
      </c>
      <c r="D18" s="51" t="s">
        <v>7</v>
      </c>
      <c r="N18" s="50" t="s">
        <v>23</v>
      </c>
      <c r="O18" s="2"/>
      <c r="P18" s="2"/>
      <c r="Q18" s="2"/>
      <c r="R18" s="2"/>
      <c r="S18" s="2"/>
      <c r="T18" s="3"/>
    </row>
    <row r="19" ht="20" customHeight="1" spans="2:20">
      <c r="B19" s="7" t="s">
        <v>24</v>
      </c>
      <c r="C19" s="51" t="s">
        <v>7</v>
      </c>
      <c r="D19" s="51" t="s">
        <v>7</v>
      </c>
      <c r="N19" s="50" t="s">
        <v>25</v>
      </c>
      <c r="O19" s="2"/>
      <c r="P19" s="2"/>
      <c r="Q19" s="2"/>
      <c r="R19" s="2"/>
      <c r="S19" s="2"/>
      <c r="T19" s="3"/>
    </row>
    <row r="20" ht="20" customHeight="1" spans="2:20">
      <c r="B20" s="52" t="s">
        <v>26</v>
      </c>
      <c r="C20" s="51" t="s">
        <v>7</v>
      </c>
      <c r="D20" s="51" t="s">
        <v>7</v>
      </c>
    </row>
  </sheetData>
  <mergeCells count="21">
    <mergeCell ref="B4:T4"/>
    <mergeCell ref="B6:T6"/>
    <mergeCell ref="B7:C7"/>
    <mergeCell ref="F7:G7"/>
    <mergeCell ref="J7:K7"/>
    <mergeCell ref="N7:O7"/>
    <mergeCell ref="R7:S7"/>
    <mergeCell ref="B8:C8"/>
    <mergeCell ref="F8:G8"/>
    <mergeCell ref="J8:K8"/>
    <mergeCell ref="N8:O8"/>
    <mergeCell ref="R8:S8"/>
    <mergeCell ref="B12:L12"/>
    <mergeCell ref="N12:T12"/>
    <mergeCell ref="N13:T13"/>
    <mergeCell ref="N14:T14"/>
    <mergeCell ref="N15:T15"/>
    <mergeCell ref="N16:T16"/>
    <mergeCell ref="N17:T17"/>
    <mergeCell ref="N18:T18"/>
    <mergeCell ref="N19:T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tabSelected="1" zoomScale="70" zoomScaleNormal="70" workbookViewId="0">
      <pane ySplit="3" topLeftCell="A4" activePane="bottomLeft" state="frozen"/>
      <selection/>
      <selection pane="bottomLeft" activeCell="P9" sqref="P9"/>
    </sheetView>
  </sheetViews>
  <sheetFormatPr defaultColWidth="9" defaultRowHeight="14.5"/>
  <cols>
    <col min="1" max="1" width="4" customWidth="1"/>
    <col min="2" max="2" width="38.6909090909091" customWidth="1"/>
    <col min="3" max="3" width="20" customWidth="1"/>
    <col min="4" max="5" width="18" customWidth="1"/>
    <col min="6" max="6" width="30" customWidth="1"/>
    <col min="7" max="7" width="12" customWidth="1"/>
    <col min="8" max="8" width="29.7363636363636" customWidth="1"/>
    <col min="9" max="9" width="34.4090909090909" customWidth="1"/>
    <col min="10" max="10" width="58.4363636363636" customWidth="1"/>
    <col min="11" max="11" width="11" customWidth="1"/>
    <col min="12" max="14" width="16" customWidth="1"/>
    <col min="15" max="15" width="41.5545454545455" customWidth="1"/>
    <col min="16" max="16" width="18" customWidth="1"/>
    <col min="17" max="17" width="38" customWidth="1"/>
  </cols>
  <sheetData>
    <row r="1" ht="36" customHeight="1" spans="1:17">
      <c r="A1" s="29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6</v>
      </c>
      <c r="C2" s="14"/>
      <c r="D2" s="12" t="s">
        <v>29</v>
      </c>
      <c r="E2" s="15">
        <f>COUNTA(F4:F1000)</f>
        <v>1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0</v>
      </c>
      <c r="L2" s="14"/>
      <c r="M2" s="14"/>
      <c r="N2" s="14"/>
      <c r="O2" s="14"/>
      <c r="P2" s="14"/>
      <c r="Q2" s="14"/>
    </row>
    <row r="3" ht="32" customHeight="1" spans="1:17">
      <c r="A3" s="30" t="s">
        <v>32</v>
      </c>
      <c r="B3" s="30" t="s">
        <v>33</v>
      </c>
      <c r="C3" s="30" t="s">
        <v>34</v>
      </c>
      <c r="D3" s="30" t="s">
        <v>35</v>
      </c>
      <c r="E3" s="30" t="s">
        <v>36</v>
      </c>
      <c r="F3" s="30" t="s">
        <v>37</v>
      </c>
      <c r="G3" s="30" t="s">
        <v>38</v>
      </c>
      <c r="H3" s="30" t="s">
        <v>39</v>
      </c>
      <c r="I3" s="30" t="s">
        <v>40</v>
      </c>
      <c r="J3" s="30" t="s">
        <v>41</v>
      </c>
      <c r="K3" s="30" t="s">
        <v>42</v>
      </c>
      <c r="L3" s="30" t="s">
        <v>10</v>
      </c>
      <c r="M3" s="30" t="s">
        <v>43</v>
      </c>
      <c r="N3" s="30" t="s">
        <v>44</v>
      </c>
      <c r="O3" s="30" t="s">
        <v>45</v>
      </c>
      <c r="P3" s="30" t="s">
        <v>46</v>
      </c>
      <c r="Q3" s="30" t="s">
        <v>47</v>
      </c>
    </row>
    <row r="4" ht="22" customHeight="1" spans="1:17">
      <c r="A4" s="8">
        <v>1</v>
      </c>
      <c r="B4" s="8" t="s">
        <v>48</v>
      </c>
      <c r="C4" s="8"/>
      <c r="D4" s="8" t="s">
        <v>49</v>
      </c>
      <c r="E4" s="8" t="s">
        <v>50</v>
      </c>
      <c r="F4" s="8" t="s">
        <v>7</v>
      </c>
      <c r="G4" s="8" t="s">
        <v>51</v>
      </c>
      <c r="H4" s="8" t="s">
        <v>52</v>
      </c>
      <c r="I4" s="8" t="s">
        <v>53</v>
      </c>
      <c r="J4" s="8" t="s">
        <v>53</v>
      </c>
      <c r="K4" s="31" t="s">
        <v>54</v>
      </c>
      <c r="L4" s="32" t="s">
        <v>14</v>
      </c>
      <c r="M4" s="33" t="s">
        <v>7</v>
      </c>
      <c r="N4" s="8" t="s">
        <v>7</v>
      </c>
      <c r="O4" s="8" t="s">
        <v>55</v>
      </c>
      <c r="P4" s="8"/>
      <c r="Q4" s="8" t="s">
        <v>56</v>
      </c>
    </row>
    <row r="5" ht="22" customHeight="1" spans="1:17">
      <c r="A5" s="5">
        <v>2</v>
      </c>
      <c r="B5" s="5" t="s">
        <v>57</v>
      </c>
      <c r="C5" s="5"/>
      <c r="D5" s="5" t="s">
        <v>58</v>
      </c>
      <c r="E5" s="5" t="s">
        <v>59</v>
      </c>
      <c r="F5" s="5"/>
      <c r="G5" s="5" t="s">
        <v>60</v>
      </c>
      <c r="H5" s="5" t="s">
        <v>61</v>
      </c>
      <c r="I5" s="34" t="s">
        <v>62</v>
      </c>
      <c r="J5" s="5" t="s">
        <v>53</v>
      </c>
      <c r="K5" s="32" t="s">
        <v>54</v>
      </c>
      <c r="L5" s="35" t="s">
        <v>14</v>
      </c>
      <c r="M5" s="33"/>
      <c r="N5" s="5"/>
      <c r="O5" s="5" t="s">
        <v>55</v>
      </c>
      <c r="P5" s="5"/>
      <c r="Q5" s="5" t="s">
        <v>63</v>
      </c>
    </row>
    <row r="6" ht="22" customHeight="1" spans="1:17">
      <c r="A6" s="8">
        <v>3</v>
      </c>
      <c r="B6" s="8" t="s">
        <v>64</v>
      </c>
      <c r="C6" s="8"/>
      <c r="D6" s="8"/>
      <c r="E6" s="8"/>
      <c r="F6" s="8"/>
      <c r="G6" s="8" t="s">
        <v>65</v>
      </c>
      <c r="H6" s="8"/>
      <c r="I6" t="s">
        <v>66</v>
      </c>
      <c r="J6" s="8"/>
      <c r="K6" s="31" t="s">
        <v>67</v>
      </c>
      <c r="L6" s="32" t="s">
        <v>14</v>
      </c>
      <c r="M6" s="33"/>
      <c r="N6" s="8"/>
      <c r="O6" s="8" t="s">
        <v>55</v>
      </c>
      <c r="P6" s="8"/>
      <c r="Q6" s="8"/>
    </row>
    <row r="7" ht="22" customHeight="1" spans="1:17">
      <c r="A7" s="5">
        <v>4</v>
      </c>
      <c r="B7" s="5" t="s">
        <v>68</v>
      </c>
      <c r="C7" s="5"/>
      <c r="D7" s="5"/>
      <c r="E7" s="53" t="s">
        <v>69</v>
      </c>
      <c r="F7" s="5"/>
      <c r="G7" s="5"/>
      <c r="H7" s="5"/>
      <c r="I7" s="34" t="s">
        <v>70</v>
      </c>
      <c r="J7" s="34" t="s">
        <v>71</v>
      </c>
      <c r="K7" s="36" t="s">
        <v>72</v>
      </c>
      <c r="L7" s="32" t="s">
        <v>14</v>
      </c>
      <c r="M7" s="33"/>
      <c r="N7" s="5"/>
      <c r="O7" s="5" t="s">
        <v>73</v>
      </c>
      <c r="P7" s="5"/>
      <c r="Q7" s="5"/>
    </row>
    <row r="8" ht="22" customHeight="1" spans="1:17">
      <c r="A8" s="8">
        <v>5</v>
      </c>
      <c r="B8" s="8" t="s">
        <v>74</v>
      </c>
      <c r="C8" s="8"/>
      <c r="D8" s="8"/>
      <c r="E8" s="37" t="s">
        <v>75</v>
      </c>
      <c r="F8" s="8"/>
      <c r="G8" s="8" t="s">
        <v>60</v>
      </c>
      <c r="H8" s="37" t="s">
        <v>76</v>
      </c>
      <c r="I8" s="38" t="s">
        <v>77</v>
      </c>
      <c r="J8" s="8"/>
      <c r="K8" s="8" t="s">
        <v>72</v>
      </c>
      <c r="L8" s="8" t="s">
        <v>14</v>
      </c>
      <c r="M8" s="8"/>
      <c r="N8" s="8"/>
      <c r="O8" s="8" t="s">
        <v>55</v>
      </c>
      <c r="P8" s="8"/>
      <c r="Q8" s="8" t="s">
        <v>78</v>
      </c>
    </row>
    <row r="9" ht="22" customHeight="1" spans="1:17">
      <c r="A9" s="5">
        <v>6</v>
      </c>
      <c r="B9" s="5" t="s">
        <v>79</v>
      </c>
      <c r="C9" s="5"/>
      <c r="D9" s="5"/>
      <c r="E9" s="5" t="s">
        <v>80</v>
      </c>
      <c r="F9" s="5"/>
      <c r="G9" s="5" t="s">
        <v>60</v>
      </c>
      <c r="H9" s="39" t="s">
        <v>81</v>
      </c>
      <c r="I9" s="34" t="s">
        <v>82</v>
      </c>
      <c r="J9" s="34" t="s">
        <v>83</v>
      </c>
      <c r="K9" s="5" t="s">
        <v>67</v>
      </c>
      <c r="L9" s="5" t="s">
        <v>14</v>
      </c>
      <c r="M9" s="5"/>
      <c r="N9" s="5"/>
      <c r="O9" s="5" t="s">
        <v>55</v>
      </c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22" customHeight="1" spans="1:17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1">
    <mergeCell ref="A1:Q1"/>
  </mergeCells>
  <conditionalFormatting sqref="L4">
    <cfRule type="cellIs" dxfId="0" priority="11" operator="equal">
      <formula>"Not Contacted"</formula>
    </cfRule>
  </conditionalFormatting>
  <conditionalFormatting sqref="L5">
    <cfRule type="cellIs" dxfId="1" priority="8" operator="equal">
      <formula>"Interested"</formula>
    </cfRule>
    <cfRule type="cellIs" dxfId="2" priority="7" operator="equal">
      <formula>"Proposal Sent"</formula>
    </cfRule>
    <cfRule type="cellIs" dxfId="3" priority="6" operator="equal">
      <formula>"Closed Won"</formula>
    </cfRule>
  </conditionalFormatting>
  <conditionalFormatting sqref="K6">
    <cfRule type="cellIs" dxfId="4" priority="12" operator="equal">
      <formula>"Low"</formula>
    </cfRule>
  </conditionalFormatting>
  <conditionalFormatting sqref="L6">
    <cfRule type="cellIs" dxfId="5" priority="5" operator="equal">
      <formula>"Closed Won"</formula>
    </cfRule>
    <cfRule type="cellIs" dxfId="6" priority="4" operator="equal">
      <formula>"Closed Lost"</formula>
    </cfRule>
    <cfRule type="cellIs" dxfId="6" priority="3" operator="equal">
      <formula>"Closed Lost"</formula>
    </cfRule>
    <cfRule type="cellIs" dxfId="6" priority="2" operator="equal">
      <formula>"Closed Lost"</formula>
    </cfRule>
  </conditionalFormatting>
  <conditionalFormatting sqref="K7">
    <cfRule type="cellIs" dxfId="7" priority="13" operator="equal">
      <formula>"Medium"</formula>
    </cfRule>
  </conditionalFormatting>
  <conditionalFormatting sqref="L7">
    <cfRule type="cellIs" dxfId="8" priority="1" operator="equal">
      <formula>"Follow Up"</formula>
    </cfRule>
  </conditionalFormatting>
  <conditionalFormatting sqref="K4:K1000">
    <cfRule type="cellIs" dxfId="9" priority="14" operator="equal">
      <formula>"High"</formula>
    </cfRule>
  </conditionalFormatting>
  <conditionalFormatting sqref="L3:L1000">
    <cfRule type="cellIs" dxfId="10" priority="10" operator="equal">
      <formula>"Not Contacted"</formula>
    </cfRule>
    <cfRule type="cellIs" dxfId="11" priority="9" operator="equal">
      <formula>"Contacted"</formula>
    </cfRule>
  </conditionalFormatting>
  <dataValidations count="2">
    <dataValidation type="list" allowBlank="1" showInputMessage="1" showErrorMessage="1" sqref="K4:K37">
      <formula1>"High, Medium, Low"</formula1>
    </dataValidation>
    <dataValidation type="list" allowBlank="1" showInputMessage="1" showErrorMessage="1" sqref="L4:L37">
      <formula1>"Not Contacted, Contacted, Interested, Proposal Sent, Closed Won, Closed Lost , Follow Up"</formula1>
    </dataValidation>
  </dataValidations>
  <hyperlinks>
    <hyperlink ref="I5" r:id="rId1" display="https://www.instagram.com/as_aesthetics_and_physio?utm_source=ig_web_button_share_sheet&amp;igsh=ZDNlZDc0MzIxNw=="/>
    <hyperlink ref="I6" r:id="rId2" display="https://www.instagram.com/skinlab.pk" tooltip="https://www.instagram.com/skinlab.pk"/>
    <hyperlink ref="I7" r:id="rId3" display="https://www.instagram.com/ritualaesthetics.pk"/>
    <hyperlink ref="J7" r:id="rId4" display="https://ritualaesthetics.pk/"/>
    <hyperlink ref="I8" r:id="rId5" display="https://www.instagram.com/olrichbeauty/"/>
    <hyperlink ref="I9" r:id="rId6" display="https://www.instagram.com/divineaestheticlaserclinic/"/>
    <hyperlink ref="J9" r:id="rId7" display="https://divineasthetics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27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5</v>
      </c>
      <c r="C2" s="14"/>
      <c r="D2" s="12" t="s">
        <v>29</v>
      </c>
      <c r="E2" s="15">
        <f>COUNTA(F4:F1000)</f>
        <v>5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2</v>
      </c>
      <c r="L2" s="14"/>
      <c r="M2" s="14"/>
      <c r="N2" s="14"/>
      <c r="O2" s="14"/>
      <c r="P2" s="14"/>
      <c r="Q2" s="14"/>
    </row>
    <row r="3" ht="32" customHeight="1" spans="1:17">
      <c r="A3" s="28" t="s">
        <v>32</v>
      </c>
      <c r="B3" s="28" t="s">
        <v>33</v>
      </c>
      <c r="C3" s="28" t="s">
        <v>34</v>
      </c>
      <c r="D3" s="28" t="s">
        <v>35</v>
      </c>
      <c r="E3" s="28" t="s">
        <v>36</v>
      </c>
      <c r="F3" s="28" t="s">
        <v>37</v>
      </c>
      <c r="G3" s="28" t="s">
        <v>38</v>
      </c>
      <c r="H3" s="28" t="s">
        <v>39</v>
      </c>
      <c r="I3" s="28" t="s">
        <v>40</v>
      </c>
      <c r="J3" s="28" t="s">
        <v>41</v>
      </c>
      <c r="K3" s="28" t="s">
        <v>42</v>
      </c>
      <c r="L3" s="28" t="s">
        <v>10</v>
      </c>
      <c r="M3" s="28" t="s">
        <v>85</v>
      </c>
      <c r="N3" s="28" t="s">
        <v>44</v>
      </c>
      <c r="O3" s="28" t="s">
        <v>45</v>
      </c>
      <c r="P3" s="28" t="s">
        <v>46</v>
      </c>
      <c r="Q3" s="28" t="s">
        <v>47</v>
      </c>
    </row>
    <row r="4" ht="22" customHeight="1" spans="1:17">
      <c r="A4" s="8">
        <v>1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7</v>
      </c>
      <c r="G4" s="8" t="s">
        <v>51</v>
      </c>
      <c r="H4" s="8" t="s">
        <v>90</v>
      </c>
      <c r="I4" s="8" t="s">
        <v>91</v>
      </c>
      <c r="J4" s="8" t="s">
        <v>92</v>
      </c>
      <c r="K4" s="7" t="s">
        <v>93</v>
      </c>
      <c r="L4" s="6" t="s">
        <v>14</v>
      </c>
      <c r="M4" s="8" t="s">
        <v>7</v>
      </c>
      <c r="N4" s="8" t="s">
        <v>7</v>
      </c>
      <c r="O4" s="8" t="s">
        <v>94</v>
      </c>
      <c r="P4" s="8" t="s">
        <v>95</v>
      </c>
      <c r="Q4" s="8" t="s">
        <v>96</v>
      </c>
    </row>
    <row r="5" ht="22" customHeight="1" spans="1:17">
      <c r="A5" s="5">
        <v>2</v>
      </c>
      <c r="B5" s="5" t="s">
        <v>97</v>
      </c>
      <c r="C5" s="5" t="s">
        <v>98</v>
      </c>
      <c r="D5" s="5" t="s">
        <v>99</v>
      </c>
      <c r="E5" s="5" t="s">
        <v>100</v>
      </c>
      <c r="F5" s="5" t="s">
        <v>101</v>
      </c>
      <c r="G5" s="5" t="s">
        <v>60</v>
      </c>
      <c r="H5" s="5" t="s">
        <v>102</v>
      </c>
      <c r="I5" s="5" t="s">
        <v>103</v>
      </c>
      <c r="J5" s="5" t="s">
        <v>104</v>
      </c>
      <c r="K5" s="7" t="s">
        <v>93</v>
      </c>
      <c r="L5" s="6" t="s">
        <v>20</v>
      </c>
      <c r="M5" s="5" t="s">
        <v>105</v>
      </c>
      <c r="N5" s="5" t="s">
        <v>106</v>
      </c>
      <c r="O5" s="5" t="s">
        <v>107</v>
      </c>
      <c r="P5" s="5" t="s">
        <v>108</v>
      </c>
      <c r="Q5" s="5" t="s">
        <v>109</v>
      </c>
    </row>
    <row r="6" ht="22" customHeight="1" spans="1:17">
      <c r="A6" s="8">
        <v>3</v>
      </c>
      <c r="B6" s="8" t="s">
        <v>110</v>
      </c>
      <c r="C6" s="8" t="s">
        <v>111</v>
      </c>
      <c r="D6" s="8" t="s">
        <v>112</v>
      </c>
      <c r="E6" s="8" t="s">
        <v>113</v>
      </c>
      <c r="F6" s="8" t="s">
        <v>7</v>
      </c>
      <c r="G6" s="8" t="s">
        <v>114</v>
      </c>
      <c r="H6" s="8" t="s">
        <v>115</v>
      </c>
      <c r="I6" s="8" t="s">
        <v>116</v>
      </c>
      <c r="J6" s="8" t="s">
        <v>117</v>
      </c>
      <c r="K6" s="6" t="s">
        <v>118</v>
      </c>
      <c r="L6" s="9" t="s">
        <v>16</v>
      </c>
      <c r="M6" s="8" t="s">
        <v>119</v>
      </c>
      <c r="N6" s="8" t="s">
        <v>120</v>
      </c>
      <c r="O6" s="8" t="s">
        <v>121</v>
      </c>
      <c r="P6" s="8" t="s">
        <v>122</v>
      </c>
      <c r="Q6" s="8" t="s">
        <v>123</v>
      </c>
    </row>
    <row r="7" ht="22" customHeight="1" spans="1:17">
      <c r="A7" s="5">
        <v>4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7</v>
      </c>
      <c r="G7" s="5" t="s">
        <v>128</v>
      </c>
      <c r="H7" s="5" t="s">
        <v>129</v>
      </c>
      <c r="I7" s="5" t="s">
        <v>130</v>
      </c>
      <c r="J7" s="5" t="s">
        <v>7</v>
      </c>
      <c r="K7" s="18" t="s">
        <v>131</v>
      </c>
      <c r="L7" s="6" t="s">
        <v>14</v>
      </c>
      <c r="M7" s="5" t="s">
        <v>7</v>
      </c>
      <c r="N7" s="5" t="s">
        <v>7</v>
      </c>
      <c r="O7" s="5" t="s">
        <v>41</v>
      </c>
      <c r="P7" s="5" t="s">
        <v>132</v>
      </c>
      <c r="Q7" s="5" t="s">
        <v>133</v>
      </c>
    </row>
    <row r="8" ht="22" customHeight="1" spans="1:17">
      <c r="A8" s="8">
        <v>5</v>
      </c>
      <c r="B8" s="8" t="s">
        <v>134</v>
      </c>
      <c r="C8" s="8" t="s">
        <v>135</v>
      </c>
      <c r="D8" s="8" t="s">
        <v>88</v>
      </c>
      <c r="E8" s="8" t="s">
        <v>136</v>
      </c>
      <c r="F8" s="8" t="s">
        <v>137</v>
      </c>
      <c r="G8" s="8" t="s">
        <v>138</v>
      </c>
      <c r="H8" s="8" t="s">
        <v>139</v>
      </c>
      <c r="I8" s="8" t="s">
        <v>140</v>
      </c>
      <c r="J8" s="8" t="s">
        <v>141</v>
      </c>
      <c r="K8" s="6" t="s">
        <v>118</v>
      </c>
      <c r="L8" s="10" t="s">
        <v>18</v>
      </c>
      <c r="M8" s="8" t="s">
        <v>142</v>
      </c>
      <c r="N8" s="8" t="s">
        <v>143</v>
      </c>
      <c r="O8" s="8" t="s">
        <v>144</v>
      </c>
      <c r="P8" s="8" t="s">
        <v>145</v>
      </c>
      <c r="Q8" s="8" t="s">
        <v>146</v>
      </c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22" customHeight="1" spans="1:17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22" customHeight="1" spans="1:17">
      <c r="A38" s="8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</sheetData>
  <mergeCells count="1">
    <mergeCell ref="A1:Q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25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4</v>
      </c>
      <c r="C2" s="14"/>
      <c r="D2" s="12" t="s">
        <v>29</v>
      </c>
      <c r="E2" s="15">
        <f>COUNTA(F4:F1000)</f>
        <v>4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2</v>
      </c>
      <c r="L2" s="14"/>
      <c r="M2" s="14"/>
      <c r="N2" s="14"/>
      <c r="O2" s="14"/>
      <c r="P2" s="14"/>
      <c r="Q2" s="14"/>
    </row>
    <row r="3" ht="32" customHeight="1" spans="1:17">
      <c r="A3" s="26" t="s">
        <v>32</v>
      </c>
      <c r="B3" s="26" t="s">
        <v>33</v>
      </c>
      <c r="C3" s="26" t="s">
        <v>34</v>
      </c>
      <c r="D3" s="26" t="s">
        <v>35</v>
      </c>
      <c r="E3" s="26" t="s">
        <v>36</v>
      </c>
      <c r="F3" s="26" t="s">
        <v>37</v>
      </c>
      <c r="G3" s="26" t="s">
        <v>38</v>
      </c>
      <c r="H3" s="26" t="s">
        <v>39</v>
      </c>
      <c r="I3" s="26" t="s">
        <v>40</v>
      </c>
      <c r="J3" s="26" t="s">
        <v>41</v>
      </c>
      <c r="K3" s="26" t="s">
        <v>42</v>
      </c>
      <c r="L3" s="26" t="s">
        <v>10</v>
      </c>
      <c r="M3" s="26" t="s">
        <v>85</v>
      </c>
      <c r="N3" s="26" t="s">
        <v>44</v>
      </c>
      <c r="O3" s="26" t="s">
        <v>45</v>
      </c>
      <c r="P3" s="26" t="s">
        <v>46</v>
      </c>
      <c r="Q3" s="26" t="s">
        <v>47</v>
      </c>
    </row>
    <row r="4" ht="22" customHeight="1" spans="1:17">
      <c r="A4" s="8">
        <v>1</v>
      </c>
      <c r="B4" s="8" t="s">
        <v>148</v>
      </c>
      <c r="C4" s="8" t="s">
        <v>149</v>
      </c>
      <c r="D4" s="8" t="s">
        <v>126</v>
      </c>
      <c r="E4" s="8" t="s">
        <v>150</v>
      </c>
      <c r="F4" s="8" t="s">
        <v>7</v>
      </c>
      <c r="G4" s="8" t="s">
        <v>60</v>
      </c>
      <c r="H4" s="8" t="s">
        <v>151</v>
      </c>
      <c r="I4" s="8" t="s">
        <v>152</v>
      </c>
      <c r="J4" s="8" t="s">
        <v>153</v>
      </c>
      <c r="K4" s="7" t="s">
        <v>93</v>
      </c>
      <c r="L4" s="6" t="s">
        <v>14</v>
      </c>
      <c r="M4" s="8" t="s">
        <v>7</v>
      </c>
      <c r="N4" s="8" t="s">
        <v>7</v>
      </c>
      <c r="O4" s="8" t="s">
        <v>154</v>
      </c>
      <c r="P4" s="8" t="s">
        <v>145</v>
      </c>
      <c r="Q4" s="8" t="s">
        <v>155</v>
      </c>
    </row>
    <row r="5" ht="22" customHeight="1" spans="1:17">
      <c r="A5" s="5">
        <v>2</v>
      </c>
      <c r="B5" s="5" t="s">
        <v>156</v>
      </c>
      <c r="C5" s="5" t="s">
        <v>157</v>
      </c>
      <c r="D5" s="5" t="s">
        <v>158</v>
      </c>
      <c r="E5" s="5" t="s">
        <v>159</v>
      </c>
      <c r="F5" s="5" t="s">
        <v>160</v>
      </c>
      <c r="G5" s="5" t="s">
        <v>114</v>
      </c>
      <c r="H5" s="5" t="s">
        <v>161</v>
      </c>
      <c r="I5" s="5" t="s">
        <v>162</v>
      </c>
      <c r="J5" s="5" t="s">
        <v>163</v>
      </c>
      <c r="K5" s="6" t="s">
        <v>118</v>
      </c>
      <c r="L5" s="9" t="s">
        <v>16</v>
      </c>
      <c r="M5" s="5" t="s">
        <v>164</v>
      </c>
      <c r="N5" s="5" t="s">
        <v>165</v>
      </c>
      <c r="O5" s="5" t="s">
        <v>166</v>
      </c>
      <c r="P5" s="5" t="s">
        <v>167</v>
      </c>
      <c r="Q5" s="5" t="s">
        <v>168</v>
      </c>
    </row>
    <row r="6" ht="22" customHeight="1" spans="1:17">
      <c r="A6" s="8">
        <v>3</v>
      </c>
      <c r="B6" s="8" t="s">
        <v>169</v>
      </c>
      <c r="C6" s="8" t="s">
        <v>170</v>
      </c>
      <c r="D6" s="8" t="s">
        <v>58</v>
      </c>
      <c r="E6" s="8" t="s">
        <v>171</v>
      </c>
      <c r="F6" s="8" t="s">
        <v>7</v>
      </c>
      <c r="G6" s="8" t="s">
        <v>51</v>
      </c>
      <c r="H6" s="8" t="s">
        <v>172</v>
      </c>
      <c r="I6" s="8" t="s">
        <v>173</v>
      </c>
      <c r="J6" s="8" t="s">
        <v>7</v>
      </c>
      <c r="K6" s="7" t="s">
        <v>93</v>
      </c>
      <c r="L6" s="6" t="s">
        <v>14</v>
      </c>
      <c r="M6" s="8" t="s">
        <v>7</v>
      </c>
      <c r="N6" s="8" t="s">
        <v>7</v>
      </c>
      <c r="O6" s="8" t="s">
        <v>174</v>
      </c>
      <c r="P6" s="8" t="s">
        <v>132</v>
      </c>
      <c r="Q6" s="8" t="s">
        <v>175</v>
      </c>
    </row>
    <row r="7" ht="22" customHeight="1" spans="1:17">
      <c r="A7" s="5">
        <v>4</v>
      </c>
      <c r="B7" s="5" t="s">
        <v>176</v>
      </c>
      <c r="C7" s="5" t="s">
        <v>177</v>
      </c>
      <c r="D7" s="5" t="s">
        <v>126</v>
      </c>
      <c r="E7" s="5" t="s">
        <v>178</v>
      </c>
      <c r="F7" s="5" t="s">
        <v>7</v>
      </c>
      <c r="G7" s="5" t="s">
        <v>138</v>
      </c>
      <c r="H7" s="5" t="s">
        <v>179</v>
      </c>
      <c r="I7" s="5" t="s">
        <v>180</v>
      </c>
      <c r="J7" s="5" t="s">
        <v>181</v>
      </c>
      <c r="K7" s="18" t="s">
        <v>131</v>
      </c>
      <c r="L7" s="6" t="s">
        <v>14</v>
      </c>
      <c r="M7" s="5" t="s">
        <v>7</v>
      </c>
      <c r="N7" s="5" t="s">
        <v>7</v>
      </c>
      <c r="O7" s="5" t="s">
        <v>182</v>
      </c>
      <c r="P7" s="5" t="s">
        <v>183</v>
      </c>
      <c r="Q7" s="5" t="s">
        <v>184</v>
      </c>
    </row>
    <row r="8" ht="22" customHeight="1" spans="1:17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22" customHeight="1" spans="1:17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1">
    <mergeCell ref="A1:Q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23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4</v>
      </c>
      <c r="C2" s="14"/>
      <c r="D2" s="12" t="s">
        <v>29</v>
      </c>
      <c r="E2" s="15">
        <f>COUNTA(F4:F1000)</f>
        <v>4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2</v>
      </c>
      <c r="L2" s="14"/>
      <c r="M2" s="14"/>
      <c r="N2" s="14"/>
      <c r="O2" s="14"/>
      <c r="P2" s="14"/>
      <c r="Q2" s="14"/>
    </row>
    <row r="3" ht="32" customHeight="1" spans="1:17">
      <c r="A3" s="24" t="s">
        <v>32</v>
      </c>
      <c r="B3" s="24" t="s">
        <v>33</v>
      </c>
      <c r="C3" s="24" t="s">
        <v>34</v>
      </c>
      <c r="D3" s="24" t="s">
        <v>35</v>
      </c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4" t="s">
        <v>10</v>
      </c>
      <c r="M3" s="24" t="s">
        <v>85</v>
      </c>
      <c r="N3" s="24" t="s">
        <v>44</v>
      </c>
      <c r="O3" s="24" t="s">
        <v>45</v>
      </c>
      <c r="P3" s="24" t="s">
        <v>46</v>
      </c>
      <c r="Q3" s="24" t="s">
        <v>47</v>
      </c>
    </row>
    <row r="4" ht="22" customHeight="1" spans="1:17">
      <c r="A4" s="8">
        <v>1</v>
      </c>
      <c r="B4" s="8" t="s">
        <v>186</v>
      </c>
      <c r="C4" s="8" t="s">
        <v>187</v>
      </c>
      <c r="D4" s="8" t="s">
        <v>188</v>
      </c>
      <c r="E4" s="8" t="s">
        <v>189</v>
      </c>
      <c r="F4" s="8" t="s">
        <v>190</v>
      </c>
      <c r="G4" s="8" t="s">
        <v>51</v>
      </c>
      <c r="H4" s="8" t="s">
        <v>191</v>
      </c>
      <c r="I4" s="8" t="s">
        <v>192</v>
      </c>
      <c r="J4" s="8" t="s">
        <v>193</v>
      </c>
      <c r="K4" s="7" t="s">
        <v>93</v>
      </c>
      <c r="L4" s="10" t="s">
        <v>18</v>
      </c>
      <c r="M4" s="8" t="s">
        <v>142</v>
      </c>
      <c r="N4" s="8" t="s">
        <v>120</v>
      </c>
      <c r="O4" s="8" t="s">
        <v>194</v>
      </c>
      <c r="P4" s="8" t="s">
        <v>195</v>
      </c>
      <c r="Q4" s="8" t="s">
        <v>196</v>
      </c>
    </row>
    <row r="5" ht="22" customHeight="1" spans="1:17">
      <c r="A5" s="5">
        <v>2</v>
      </c>
      <c r="B5" s="5" t="s">
        <v>197</v>
      </c>
      <c r="C5" s="5" t="s">
        <v>198</v>
      </c>
      <c r="D5" s="5" t="s">
        <v>199</v>
      </c>
      <c r="E5" s="5" t="s">
        <v>200</v>
      </c>
      <c r="F5" s="5" t="s">
        <v>7</v>
      </c>
      <c r="G5" s="5" t="s">
        <v>201</v>
      </c>
      <c r="H5" s="5" t="s">
        <v>202</v>
      </c>
      <c r="I5" s="5" t="s">
        <v>203</v>
      </c>
      <c r="J5" s="5" t="s">
        <v>7</v>
      </c>
      <c r="K5" s="6" t="s">
        <v>118</v>
      </c>
      <c r="L5" s="6" t="s">
        <v>14</v>
      </c>
      <c r="M5" s="5" t="s">
        <v>7</v>
      </c>
      <c r="N5" s="5" t="s">
        <v>7</v>
      </c>
      <c r="O5" s="5" t="s">
        <v>204</v>
      </c>
      <c r="P5" s="5" t="s">
        <v>205</v>
      </c>
      <c r="Q5" s="5" t="s">
        <v>206</v>
      </c>
    </row>
    <row r="6" ht="22" customHeight="1" spans="1:17">
      <c r="A6" s="8">
        <v>3</v>
      </c>
      <c r="B6" s="8" t="s">
        <v>207</v>
      </c>
      <c r="C6" s="8" t="s">
        <v>208</v>
      </c>
      <c r="D6" s="8" t="s">
        <v>209</v>
      </c>
      <c r="E6" s="8" t="s">
        <v>210</v>
      </c>
      <c r="F6" s="8" t="s">
        <v>7</v>
      </c>
      <c r="G6" s="8" t="s">
        <v>138</v>
      </c>
      <c r="H6" s="8" t="s">
        <v>211</v>
      </c>
      <c r="I6" s="8" t="s">
        <v>7</v>
      </c>
      <c r="J6" s="8" t="s">
        <v>7</v>
      </c>
      <c r="K6" s="18" t="s">
        <v>131</v>
      </c>
      <c r="L6" s="6" t="s">
        <v>14</v>
      </c>
      <c r="M6" s="8" t="s">
        <v>7</v>
      </c>
      <c r="N6" s="8" t="s">
        <v>7</v>
      </c>
      <c r="O6" s="8" t="s">
        <v>212</v>
      </c>
      <c r="P6" s="8" t="s">
        <v>167</v>
      </c>
      <c r="Q6" s="8" t="s">
        <v>213</v>
      </c>
    </row>
    <row r="7" ht="22" customHeight="1" spans="1:17">
      <c r="A7" s="5">
        <v>4</v>
      </c>
      <c r="B7" s="5" t="s">
        <v>214</v>
      </c>
      <c r="C7" s="5" t="s">
        <v>215</v>
      </c>
      <c r="D7" s="5" t="s">
        <v>216</v>
      </c>
      <c r="E7" s="5" t="s">
        <v>217</v>
      </c>
      <c r="F7" s="5" t="s">
        <v>218</v>
      </c>
      <c r="G7" s="5" t="s">
        <v>60</v>
      </c>
      <c r="H7" s="5" t="s">
        <v>219</v>
      </c>
      <c r="I7" s="5" t="s">
        <v>220</v>
      </c>
      <c r="J7" s="5" t="s">
        <v>221</v>
      </c>
      <c r="K7" s="7" t="s">
        <v>93</v>
      </c>
      <c r="L7" s="6" t="s">
        <v>20</v>
      </c>
      <c r="M7" s="5" t="s">
        <v>119</v>
      </c>
      <c r="N7" s="5" t="s">
        <v>222</v>
      </c>
      <c r="O7" s="5" t="s">
        <v>223</v>
      </c>
      <c r="P7" s="5" t="s">
        <v>224</v>
      </c>
      <c r="Q7" s="5" t="s">
        <v>225</v>
      </c>
    </row>
    <row r="8" ht="22" customHeight="1" spans="1:17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22" customHeight="1" spans="1:17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1">
    <mergeCell ref="A1:Q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2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4</v>
      </c>
      <c r="C2" s="14"/>
      <c r="D2" s="12" t="s">
        <v>29</v>
      </c>
      <c r="E2" s="15">
        <f>COUNTA(F4:F1000)</f>
        <v>4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2</v>
      </c>
      <c r="L2" s="14"/>
      <c r="M2" s="14"/>
      <c r="N2" s="14"/>
      <c r="O2" s="14"/>
      <c r="P2" s="14"/>
      <c r="Q2" s="14"/>
    </row>
    <row r="3" ht="32" customHeight="1" spans="1:17">
      <c r="A3" s="22" t="s">
        <v>32</v>
      </c>
      <c r="B3" s="22" t="s">
        <v>33</v>
      </c>
      <c r="C3" s="22" t="s">
        <v>34</v>
      </c>
      <c r="D3" s="22" t="s">
        <v>35</v>
      </c>
      <c r="E3" s="22" t="s">
        <v>36</v>
      </c>
      <c r="F3" s="22" t="s">
        <v>37</v>
      </c>
      <c r="G3" s="22" t="s">
        <v>38</v>
      </c>
      <c r="H3" s="22" t="s">
        <v>39</v>
      </c>
      <c r="I3" s="22" t="s">
        <v>40</v>
      </c>
      <c r="J3" s="22" t="s">
        <v>41</v>
      </c>
      <c r="K3" s="22" t="s">
        <v>42</v>
      </c>
      <c r="L3" s="22" t="s">
        <v>10</v>
      </c>
      <c r="M3" s="22" t="s">
        <v>85</v>
      </c>
      <c r="N3" s="22" t="s">
        <v>44</v>
      </c>
      <c r="O3" s="22" t="s">
        <v>45</v>
      </c>
      <c r="P3" s="22" t="s">
        <v>46</v>
      </c>
      <c r="Q3" s="22" t="s">
        <v>47</v>
      </c>
    </row>
    <row r="4" ht="22" customHeight="1" spans="1:17">
      <c r="A4" s="8">
        <v>1</v>
      </c>
      <c r="B4" s="8" t="s">
        <v>227</v>
      </c>
      <c r="C4" s="8" t="s">
        <v>228</v>
      </c>
      <c r="D4" s="8" t="s">
        <v>229</v>
      </c>
      <c r="E4" s="8" t="s">
        <v>230</v>
      </c>
      <c r="F4" s="8" t="s">
        <v>7</v>
      </c>
      <c r="G4" s="8" t="s">
        <v>60</v>
      </c>
      <c r="H4" s="8" t="s">
        <v>102</v>
      </c>
      <c r="I4" s="8" t="s">
        <v>231</v>
      </c>
      <c r="J4" s="8" t="s">
        <v>232</v>
      </c>
      <c r="K4" s="6" t="s">
        <v>118</v>
      </c>
      <c r="L4" s="6" t="s">
        <v>14</v>
      </c>
      <c r="M4" s="8" t="s">
        <v>7</v>
      </c>
      <c r="N4" s="8" t="s">
        <v>7</v>
      </c>
      <c r="O4" s="8" t="s">
        <v>233</v>
      </c>
      <c r="P4" s="8" t="s">
        <v>122</v>
      </c>
      <c r="Q4" s="8" t="s">
        <v>234</v>
      </c>
    </row>
    <row r="5" ht="22" customHeight="1" spans="1:17">
      <c r="A5" s="5">
        <v>2</v>
      </c>
      <c r="B5" s="5" t="s">
        <v>235</v>
      </c>
      <c r="C5" s="5" t="s">
        <v>236</v>
      </c>
      <c r="D5" s="5" t="s">
        <v>126</v>
      </c>
      <c r="E5" s="5" t="s">
        <v>237</v>
      </c>
      <c r="F5" s="5" t="s">
        <v>238</v>
      </c>
      <c r="G5" s="5" t="s">
        <v>138</v>
      </c>
      <c r="H5" s="5" t="s">
        <v>239</v>
      </c>
      <c r="I5" s="5" t="s">
        <v>240</v>
      </c>
      <c r="J5" s="5" t="s">
        <v>7</v>
      </c>
      <c r="K5" s="7" t="s">
        <v>93</v>
      </c>
      <c r="L5" s="9" t="s">
        <v>16</v>
      </c>
      <c r="M5" s="5" t="s">
        <v>241</v>
      </c>
      <c r="N5" s="5" t="s">
        <v>242</v>
      </c>
      <c r="O5" s="5" t="s">
        <v>243</v>
      </c>
      <c r="P5" s="5" t="s">
        <v>205</v>
      </c>
      <c r="Q5" s="5" t="s">
        <v>244</v>
      </c>
    </row>
    <row r="6" ht="22" customHeight="1" spans="1:17">
      <c r="A6" s="8">
        <v>3</v>
      </c>
      <c r="B6" s="8" t="s">
        <v>245</v>
      </c>
      <c r="C6" s="8" t="s">
        <v>246</v>
      </c>
      <c r="D6" s="8" t="s">
        <v>126</v>
      </c>
      <c r="E6" s="8" t="s">
        <v>247</v>
      </c>
      <c r="F6" s="8" t="s">
        <v>7</v>
      </c>
      <c r="G6" s="8" t="s">
        <v>114</v>
      </c>
      <c r="H6" s="8" t="s">
        <v>248</v>
      </c>
      <c r="I6" s="8" t="s">
        <v>7</v>
      </c>
      <c r="J6" s="8" t="s">
        <v>7</v>
      </c>
      <c r="K6" s="18" t="s">
        <v>131</v>
      </c>
      <c r="L6" s="6" t="s">
        <v>14</v>
      </c>
      <c r="M6" s="8" t="s">
        <v>7</v>
      </c>
      <c r="N6" s="8" t="s">
        <v>7</v>
      </c>
      <c r="O6" s="8" t="s">
        <v>249</v>
      </c>
      <c r="P6" s="8" t="s">
        <v>250</v>
      </c>
      <c r="Q6" s="8" t="s">
        <v>251</v>
      </c>
    </row>
    <row r="7" ht="22" customHeight="1" spans="1:17">
      <c r="A7" s="5">
        <v>4</v>
      </c>
      <c r="B7" s="5" t="s">
        <v>252</v>
      </c>
      <c r="C7" s="5" t="s">
        <v>253</v>
      </c>
      <c r="D7" s="5" t="s">
        <v>158</v>
      </c>
      <c r="E7" s="5" t="s">
        <v>254</v>
      </c>
      <c r="F7" s="5" t="s">
        <v>255</v>
      </c>
      <c r="G7" s="5" t="s">
        <v>51</v>
      </c>
      <c r="H7" s="5" t="s">
        <v>256</v>
      </c>
      <c r="I7" s="5" t="s">
        <v>257</v>
      </c>
      <c r="J7" s="5" t="s">
        <v>258</v>
      </c>
      <c r="K7" s="7" t="s">
        <v>93</v>
      </c>
      <c r="L7" s="10" t="s">
        <v>18</v>
      </c>
      <c r="M7" s="5" t="s">
        <v>164</v>
      </c>
      <c r="N7" s="5" t="s">
        <v>120</v>
      </c>
      <c r="O7" s="5" t="s">
        <v>259</v>
      </c>
      <c r="P7" s="5" t="s">
        <v>260</v>
      </c>
      <c r="Q7" s="5" t="s">
        <v>261</v>
      </c>
    </row>
    <row r="8" ht="22" customHeight="1" spans="1:17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ht="22" customHeight="1" spans="1:17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</sheetData>
  <mergeCells count="1">
    <mergeCell ref="A1:Q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19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3</v>
      </c>
      <c r="C2" s="14"/>
      <c r="D2" s="12" t="s">
        <v>29</v>
      </c>
      <c r="E2" s="15">
        <f>COUNTA(F4:F1000)</f>
        <v>3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1</v>
      </c>
      <c r="L2" s="14"/>
      <c r="M2" s="14"/>
      <c r="N2" s="14"/>
      <c r="O2" s="14"/>
      <c r="P2" s="14"/>
      <c r="Q2" s="14"/>
    </row>
    <row r="3" ht="32" customHeight="1" spans="1:17">
      <c r="A3" s="20" t="s">
        <v>32</v>
      </c>
      <c r="B3" s="20" t="s">
        <v>33</v>
      </c>
      <c r="C3" s="20" t="s">
        <v>34</v>
      </c>
      <c r="D3" s="20" t="s">
        <v>35</v>
      </c>
      <c r="E3" s="20" t="s">
        <v>36</v>
      </c>
      <c r="F3" s="20" t="s">
        <v>37</v>
      </c>
      <c r="G3" s="20" t="s">
        <v>38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10</v>
      </c>
      <c r="M3" s="20" t="s">
        <v>85</v>
      </c>
      <c r="N3" s="20" t="s">
        <v>44</v>
      </c>
      <c r="O3" s="20" t="s">
        <v>45</v>
      </c>
      <c r="P3" s="20" t="s">
        <v>46</v>
      </c>
      <c r="Q3" s="20" t="s">
        <v>47</v>
      </c>
    </row>
    <row r="4" ht="22" customHeight="1" spans="1:17">
      <c r="A4" s="8">
        <v>1</v>
      </c>
      <c r="B4" s="8" t="s">
        <v>263</v>
      </c>
      <c r="C4" s="8" t="s">
        <v>264</v>
      </c>
      <c r="D4" s="8" t="s">
        <v>265</v>
      </c>
      <c r="E4" s="8" t="s">
        <v>266</v>
      </c>
      <c r="F4" s="8" t="s">
        <v>267</v>
      </c>
      <c r="G4" s="8" t="s">
        <v>51</v>
      </c>
      <c r="H4" s="8" t="s">
        <v>268</v>
      </c>
      <c r="I4" s="8" t="s">
        <v>269</v>
      </c>
      <c r="J4" s="8" t="s">
        <v>270</v>
      </c>
      <c r="K4" s="7" t="s">
        <v>93</v>
      </c>
      <c r="L4" s="6" t="s">
        <v>14</v>
      </c>
      <c r="M4" s="8" t="s">
        <v>7</v>
      </c>
      <c r="N4" s="8" t="s">
        <v>7</v>
      </c>
      <c r="O4" s="8" t="s">
        <v>271</v>
      </c>
      <c r="P4" s="8" t="s">
        <v>272</v>
      </c>
      <c r="Q4" s="8" t="s">
        <v>273</v>
      </c>
    </row>
    <row r="5" ht="22" customHeight="1" spans="1:17">
      <c r="A5" s="5">
        <v>2</v>
      </c>
      <c r="B5" s="5" t="s">
        <v>274</v>
      </c>
      <c r="C5" s="5" t="s">
        <v>275</v>
      </c>
      <c r="D5" s="5" t="s">
        <v>276</v>
      </c>
      <c r="E5" s="5" t="s">
        <v>277</v>
      </c>
      <c r="F5" s="5" t="s">
        <v>7</v>
      </c>
      <c r="G5" s="5" t="s">
        <v>60</v>
      </c>
      <c r="H5" s="5" t="s">
        <v>61</v>
      </c>
      <c r="I5" s="5" t="s">
        <v>278</v>
      </c>
      <c r="J5" s="5" t="s">
        <v>7</v>
      </c>
      <c r="K5" s="6" t="s">
        <v>118</v>
      </c>
      <c r="L5" s="9" t="s">
        <v>16</v>
      </c>
      <c r="M5" s="5" t="s">
        <v>142</v>
      </c>
      <c r="N5" s="5" t="s">
        <v>143</v>
      </c>
      <c r="O5" s="5" t="s">
        <v>279</v>
      </c>
      <c r="P5" s="5" t="s">
        <v>280</v>
      </c>
      <c r="Q5" s="5" t="s">
        <v>281</v>
      </c>
    </row>
    <row r="6" ht="22" customHeight="1" spans="1:17">
      <c r="A6" s="8">
        <v>3</v>
      </c>
      <c r="B6" s="8" t="s">
        <v>282</v>
      </c>
      <c r="C6" s="8" t="s">
        <v>283</v>
      </c>
      <c r="D6" s="8" t="s">
        <v>126</v>
      </c>
      <c r="E6" s="8" t="s">
        <v>284</v>
      </c>
      <c r="F6" s="8" t="s">
        <v>7</v>
      </c>
      <c r="G6" s="8" t="s">
        <v>114</v>
      </c>
      <c r="H6" s="8" t="s">
        <v>285</v>
      </c>
      <c r="I6" s="8" t="s">
        <v>286</v>
      </c>
      <c r="J6" s="8" t="s">
        <v>7</v>
      </c>
      <c r="K6" s="18" t="s">
        <v>131</v>
      </c>
      <c r="L6" s="6" t="s">
        <v>14</v>
      </c>
      <c r="M6" s="8" t="s">
        <v>7</v>
      </c>
      <c r="N6" s="8" t="s">
        <v>7</v>
      </c>
      <c r="O6" s="8" t="s">
        <v>287</v>
      </c>
      <c r="P6" s="8" t="s">
        <v>288</v>
      </c>
      <c r="Q6" s="8" t="s">
        <v>289</v>
      </c>
    </row>
    <row r="7" ht="22" customHeight="1" spans="1:17">
      <c r="A7" s="5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22" customHeight="1" spans="1:17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A1:Q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pane ySplit="3" topLeftCell="A4" activePane="bottomLeft" state="frozen"/>
      <selection/>
      <selection pane="bottomLeft" activeCell="A1" sqref="A1:Q1"/>
    </sheetView>
  </sheetViews>
  <sheetFormatPr defaultColWidth="9" defaultRowHeight="14.5"/>
  <cols>
    <col min="1" max="1" width="4" customWidth="1"/>
    <col min="2" max="2" width="28" customWidth="1"/>
    <col min="3" max="3" width="20" customWidth="1"/>
    <col min="4" max="5" width="18" customWidth="1"/>
    <col min="6" max="6" width="30" customWidth="1"/>
    <col min="7" max="7" width="12" customWidth="1"/>
    <col min="8" max="8" width="16" customWidth="1"/>
    <col min="9" max="10" width="22" customWidth="1"/>
    <col min="11" max="11" width="11" customWidth="1"/>
    <col min="12" max="14" width="16" customWidth="1"/>
    <col min="15" max="15" width="22" customWidth="1"/>
    <col min="16" max="16" width="18" customWidth="1"/>
    <col min="17" max="17" width="38" customWidth="1"/>
  </cols>
  <sheetData>
    <row r="1" ht="36" customHeight="1" spans="1:17">
      <c r="A1" s="1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0" customHeight="1" spans="1:17">
      <c r="A2" s="12" t="s">
        <v>28</v>
      </c>
      <c r="B2" s="13">
        <f>COUNTA(B4:B1000)</f>
        <v>3</v>
      </c>
      <c r="C2" s="14"/>
      <c r="D2" s="12" t="s">
        <v>29</v>
      </c>
      <c r="E2" s="15">
        <f>COUNTA(F4:F1000)</f>
        <v>3</v>
      </c>
      <c r="F2" s="14"/>
      <c r="G2" s="12" t="s">
        <v>30</v>
      </c>
      <c r="H2" s="15">
        <f>COUNTIF(L4:L1000,"Closed Won")</f>
        <v>0</v>
      </c>
      <c r="I2" s="14"/>
      <c r="J2" s="12" t="s">
        <v>31</v>
      </c>
      <c r="K2" s="16">
        <f>COUNTIF(K4:K1000,"🔴 High")</f>
        <v>1</v>
      </c>
      <c r="L2" s="14"/>
      <c r="M2" s="14"/>
      <c r="N2" s="14"/>
      <c r="O2" s="14"/>
      <c r="P2" s="14"/>
      <c r="Q2" s="14"/>
    </row>
    <row r="3" ht="32" customHeight="1" spans="1:17">
      <c r="A3" s="17" t="s">
        <v>32</v>
      </c>
      <c r="B3" s="17" t="s">
        <v>33</v>
      </c>
      <c r="C3" s="17" t="s">
        <v>34</v>
      </c>
      <c r="D3" s="17" t="s">
        <v>35</v>
      </c>
      <c r="E3" s="17" t="s">
        <v>36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  <c r="L3" s="17" t="s">
        <v>10</v>
      </c>
      <c r="M3" s="17" t="s">
        <v>85</v>
      </c>
      <c r="N3" s="17" t="s">
        <v>44</v>
      </c>
      <c r="O3" s="17" t="s">
        <v>45</v>
      </c>
      <c r="P3" s="17" t="s">
        <v>46</v>
      </c>
      <c r="Q3" s="17" t="s">
        <v>47</v>
      </c>
    </row>
    <row r="4" ht="22" customHeight="1" spans="1:17">
      <c r="A4" s="8">
        <v>1</v>
      </c>
      <c r="B4" s="8" t="s">
        <v>291</v>
      </c>
      <c r="C4" s="8" t="s">
        <v>292</v>
      </c>
      <c r="D4" s="8" t="s">
        <v>126</v>
      </c>
      <c r="E4" s="8" t="s">
        <v>293</v>
      </c>
      <c r="F4" s="8" t="s">
        <v>294</v>
      </c>
      <c r="G4" s="8" t="s">
        <v>114</v>
      </c>
      <c r="H4" s="8" t="s">
        <v>295</v>
      </c>
      <c r="I4" s="8" t="s">
        <v>296</v>
      </c>
      <c r="J4" s="8" t="s">
        <v>297</v>
      </c>
      <c r="K4" s="7" t="s">
        <v>93</v>
      </c>
      <c r="L4" s="6" t="s">
        <v>14</v>
      </c>
      <c r="M4" s="8" t="s">
        <v>7</v>
      </c>
      <c r="N4" s="8" t="s">
        <v>7</v>
      </c>
      <c r="O4" s="8" t="s">
        <v>298</v>
      </c>
      <c r="P4" s="8" t="s">
        <v>122</v>
      </c>
      <c r="Q4" s="8" t="s">
        <v>299</v>
      </c>
    </row>
    <row r="5" ht="22" customHeight="1" spans="1:17">
      <c r="A5" s="5">
        <v>2</v>
      </c>
      <c r="B5" s="5" t="s">
        <v>300</v>
      </c>
      <c r="C5" s="5" t="s">
        <v>301</v>
      </c>
      <c r="D5" s="5" t="s">
        <v>302</v>
      </c>
      <c r="E5" s="5" t="s">
        <v>303</v>
      </c>
      <c r="F5" s="5" t="s">
        <v>304</v>
      </c>
      <c r="G5" s="5" t="s">
        <v>51</v>
      </c>
      <c r="H5" s="5" t="s">
        <v>305</v>
      </c>
      <c r="I5" s="5" t="s">
        <v>306</v>
      </c>
      <c r="J5" s="5" t="s">
        <v>307</v>
      </c>
      <c r="K5" s="6" t="s">
        <v>118</v>
      </c>
      <c r="L5" s="10" t="s">
        <v>18</v>
      </c>
      <c r="M5" s="5" t="s">
        <v>241</v>
      </c>
      <c r="N5" s="5" t="s">
        <v>242</v>
      </c>
      <c r="O5" s="5" t="s">
        <v>308</v>
      </c>
      <c r="P5" s="5" t="s">
        <v>132</v>
      </c>
      <c r="Q5" s="5" t="s">
        <v>309</v>
      </c>
    </row>
    <row r="6" ht="22" customHeight="1" spans="1:17">
      <c r="A6" s="8">
        <v>3</v>
      </c>
      <c r="B6" s="8" t="s">
        <v>310</v>
      </c>
      <c r="C6" s="8" t="s">
        <v>311</v>
      </c>
      <c r="D6" s="8" t="s">
        <v>158</v>
      </c>
      <c r="E6" s="8" t="s">
        <v>312</v>
      </c>
      <c r="F6" s="8" t="s">
        <v>7</v>
      </c>
      <c r="G6" s="8" t="s">
        <v>138</v>
      </c>
      <c r="H6" s="8" t="s">
        <v>313</v>
      </c>
      <c r="I6" s="8" t="s">
        <v>7</v>
      </c>
      <c r="J6" s="8" t="s">
        <v>314</v>
      </c>
      <c r="K6" s="18" t="s">
        <v>131</v>
      </c>
      <c r="L6" s="6" t="s">
        <v>14</v>
      </c>
      <c r="M6" s="8" t="s">
        <v>7</v>
      </c>
      <c r="N6" s="8" t="s">
        <v>7</v>
      </c>
      <c r="O6" s="8" t="s">
        <v>121</v>
      </c>
      <c r="P6" s="8" t="s">
        <v>167</v>
      </c>
      <c r="Q6" s="8" t="s">
        <v>315</v>
      </c>
    </row>
    <row r="7" ht="22" customHeight="1" spans="1:17">
      <c r="A7" s="5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22" customHeight="1" spans="1:17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22" customHeight="1" spans="1:17">
      <c r="A9" s="5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22" customHeight="1" spans="1:17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2" customHeight="1" spans="1:17">
      <c r="A11" s="5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2" customHeight="1" spans="1:17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22" customHeight="1" spans="1:17">
      <c r="A13" s="5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2" customHeight="1" spans="1:17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22" customHeight="1" spans="1:17">
      <c r="A15" s="5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2" customHeight="1" spans="1:17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ht="22" customHeight="1" spans="1:17">
      <c r="A17" s="5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2" customHeight="1" spans="1:17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ht="22" customHeight="1" spans="1:17">
      <c r="A19" s="5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2" customHeight="1" spans="1:17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ht="22" customHeight="1" spans="1:17">
      <c r="A21" s="5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2" customHeight="1" spans="1:17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ht="22" customHeight="1" spans="1:17">
      <c r="A23" s="5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2" customHeight="1" spans="1:17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ht="22" customHeight="1" spans="1:17">
      <c r="A25" s="5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2" customHeight="1" spans="1:17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ht="22" customHeight="1" spans="1:17">
      <c r="A27" s="5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2" customHeight="1" spans="1:17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ht="22" customHeight="1" spans="1:17">
      <c r="A29" s="5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2" customHeight="1" spans="1:17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ht="22" customHeight="1" spans="1:17">
      <c r="A31" s="5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2" customHeight="1" spans="1:17">
      <c r="A32" s="8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ht="22" customHeight="1" spans="1:17">
      <c r="A33" s="5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22" customHeight="1" spans="1:17">
      <c r="A34" s="8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22" customHeight="1" spans="1:17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2" customHeight="1" spans="1:17">
      <c r="A36" s="8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A1:Q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workbookViewId="0">
      <pane ySplit="2" topLeftCell="A3" activePane="bottomLeft" state="frozen"/>
      <selection/>
      <selection pane="bottomLeft" activeCell="A1" sqref="A1:N1"/>
    </sheetView>
  </sheetViews>
  <sheetFormatPr defaultColWidth="9" defaultRowHeight="14.5"/>
  <cols>
    <col min="1" max="1" width="4" customWidth="1"/>
    <col min="2" max="2" width="18" customWidth="1"/>
    <col min="3" max="3" width="26" customWidth="1"/>
    <col min="4" max="4" width="20" customWidth="1"/>
    <col min="5" max="5" width="18" customWidth="1"/>
    <col min="6" max="6" width="28" customWidth="1"/>
    <col min="7" max="7" width="12" customWidth="1"/>
    <col min="8" max="8" width="16" customWidth="1"/>
    <col min="9" max="9" width="12" customWidth="1"/>
    <col min="10" max="11" width="16" customWidth="1"/>
    <col min="12" max="12" width="22" customWidth="1"/>
    <col min="13" max="13" width="14" customWidth="1"/>
    <col min="14" max="14" width="36" customWidth="1"/>
  </cols>
  <sheetData>
    <row r="1" ht="36" customHeight="1" spans="1:14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2" customHeight="1" spans="1:14">
      <c r="A2" s="4" t="s">
        <v>32</v>
      </c>
      <c r="B2" s="4" t="s">
        <v>317</v>
      </c>
      <c r="C2" s="4" t="s">
        <v>33</v>
      </c>
      <c r="D2" s="4" t="s">
        <v>34</v>
      </c>
      <c r="E2" s="4" t="s">
        <v>318</v>
      </c>
      <c r="F2" s="4" t="s">
        <v>37</v>
      </c>
      <c r="G2" s="4" t="s">
        <v>38</v>
      </c>
      <c r="H2" s="4" t="s">
        <v>10</v>
      </c>
      <c r="I2" s="4" t="s">
        <v>42</v>
      </c>
      <c r="J2" s="4" t="s">
        <v>319</v>
      </c>
      <c r="K2" s="4" t="s">
        <v>44</v>
      </c>
      <c r="L2" s="4" t="s">
        <v>320</v>
      </c>
      <c r="M2" s="4" t="s">
        <v>321</v>
      </c>
      <c r="N2" s="4" t="s">
        <v>322</v>
      </c>
    </row>
    <row r="3" ht="22" customHeight="1" spans="1:14">
      <c r="A3" s="5">
        <v>1</v>
      </c>
      <c r="B3" s="5" t="s">
        <v>323</v>
      </c>
      <c r="C3" s="5" t="s">
        <v>324</v>
      </c>
      <c r="D3" s="5" t="s">
        <v>325</v>
      </c>
      <c r="E3" s="5" t="s">
        <v>326</v>
      </c>
      <c r="F3" s="5" t="s">
        <v>7</v>
      </c>
      <c r="G3" s="5" t="s">
        <v>51</v>
      </c>
      <c r="H3" s="6" t="s">
        <v>14</v>
      </c>
      <c r="I3" s="7" t="s">
        <v>93</v>
      </c>
      <c r="J3" s="5" t="s">
        <v>7</v>
      </c>
      <c r="K3" s="5" t="s">
        <v>7</v>
      </c>
      <c r="L3" s="5" t="s">
        <v>327</v>
      </c>
      <c r="M3" s="5" t="s">
        <v>280</v>
      </c>
      <c r="N3" s="5" t="s">
        <v>328</v>
      </c>
    </row>
    <row r="4" ht="22" customHeight="1" spans="1:14">
      <c r="A4" s="8">
        <v>2</v>
      </c>
      <c r="B4" s="8" t="s">
        <v>323</v>
      </c>
      <c r="C4" s="8" t="s">
        <v>329</v>
      </c>
      <c r="D4" s="8" t="s">
        <v>330</v>
      </c>
      <c r="E4" s="8" t="s">
        <v>331</v>
      </c>
      <c r="F4" s="8" t="s">
        <v>332</v>
      </c>
      <c r="G4" s="8" t="s">
        <v>60</v>
      </c>
      <c r="H4" s="9" t="s">
        <v>16</v>
      </c>
      <c r="I4" s="6" t="s">
        <v>118</v>
      </c>
      <c r="J4" s="8" t="s">
        <v>164</v>
      </c>
      <c r="K4" s="8" t="s">
        <v>222</v>
      </c>
      <c r="L4" s="8" t="s">
        <v>333</v>
      </c>
      <c r="M4" s="8" t="s">
        <v>167</v>
      </c>
      <c r="N4" s="8" t="s">
        <v>334</v>
      </c>
    </row>
    <row r="5" ht="22" customHeight="1" spans="1:14">
      <c r="A5" s="5">
        <v>3</v>
      </c>
      <c r="B5" s="5" t="s">
        <v>323</v>
      </c>
      <c r="C5" s="5" t="s">
        <v>335</v>
      </c>
      <c r="D5" s="5" t="s">
        <v>336</v>
      </c>
      <c r="E5" s="5" t="s">
        <v>337</v>
      </c>
      <c r="F5" s="5" t="s">
        <v>7</v>
      </c>
      <c r="G5" s="5" t="s">
        <v>138</v>
      </c>
      <c r="H5" s="6" t="s">
        <v>14</v>
      </c>
      <c r="I5" s="7" t="s">
        <v>93</v>
      </c>
      <c r="J5" s="5" t="s">
        <v>7</v>
      </c>
      <c r="K5" s="5" t="s">
        <v>7</v>
      </c>
      <c r="L5" s="5" t="s">
        <v>338</v>
      </c>
      <c r="M5" s="5" t="s">
        <v>272</v>
      </c>
      <c r="N5" s="5" t="s">
        <v>339</v>
      </c>
    </row>
    <row r="6" ht="22" customHeight="1" spans="1:14">
      <c r="A6" s="8">
        <v>4</v>
      </c>
      <c r="B6" s="8" t="s">
        <v>340</v>
      </c>
      <c r="C6" s="8" t="s">
        <v>97</v>
      </c>
      <c r="D6" s="8" t="s">
        <v>98</v>
      </c>
      <c r="E6" s="8" t="s">
        <v>100</v>
      </c>
      <c r="F6" s="8" t="s">
        <v>101</v>
      </c>
      <c r="G6" s="8" t="s">
        <v>60</v>
      </c>
      <c r="H6" s="6" t="s">
        <v>20</v>
      </c>
      <c r="I6" s="7" t="s">
        <v>93</v>
      </c>
      <c r="J6" s="8" t="s">
        <v>105</v>
      </c>
      <c r="K6" s="8" t="s">
        <v>106</v>
      </c>
      <c r="L6" s="8" t="s">
        <v>107</v>
      </c>
      <c r="M6" s="8" t="s">
        <v>108</v>
      </c>
      <c r="N6" s="8" t="s">
        <v>109</v>
      </c>
    </row>
    <row r="7" ht="22" customHeight="1" spans="1:14">
      <c r="A7" s="5">
        <v>5</v>
      </c>
      <c r="B7" s="5" t="s">
        <v>340</v>
      </c>
      <c r="C7" s="5" t="s">
        <v>110</v>
      </c>
      <c r="D7" s="5" t="s">
        <v>111</v>
      </c>
      <c r="E7" s="5" t="s">
        <v>113</v>
      </c>
      <c r="F7" s="5" t="s">
        <v>7</v>
      </c>
      <c r="G7" s="5" t="s">
        <v>114</v>
      </c>
      <c r="H7" s="9" t="s">
        <v>16</v>
      </c>
      <c r="I7" s="6" t="s">
        <v>118</v>
      </c>
      <c r="J7" s="5" t="s">
        <v>119</v>
      </c>
      <c r="K7" s="5" t="s">
        <v>120</v>
      </c>
      <c r="L7" s="5" t="s">
        <v>121</v>
      </c>
      <c r="M7" s="5" t="s">
        <v>122</v>
      </c>
      <c r="N7" s="5" t="s">
        <v>123</v>
      </c>
    </row>
    <row r="8" ht="22" customHeight="1" spans="1:14">
      <c r="A8" s="8">
        <v>6</v>
      </c>
      <c r="B8" s="8" t="s">
        <v>340</v>
      </c>
      <c r="C8" s="8" t="s">
        <v>134</v>
      </c>
      <c r="D8" s="8" t="s">
        <v>135</v>
      </c>
      <c r="E8" s="8" t="s">
        <v>136</v>
      </c>
      <c r="F8" s="8" t="s">
        <v>137</v>
      </c>
      <c r="G8" s="8" t="s">
        <v>138</v>
      </c>
      <c r="H8" s="10" t="s">
        <v>18</v>
      </c>
      <c r="I8" s="6" t="s">
        <v>118</v>
      </c>
      <c r="J8" s="8" t="s">
        <v>142</v>
      </c>
      <c r="K8" s="8" t="s">
        <v>143</v>
      </c>
      <c r="L8" s="8" t="s">
        <v>144</v>
      </c>
      <c r="M8" s="8" t="s">
        <v>145</v>
      </c>
      <c r="N8" s="8" t="s">
        <v>341</v>
      </c>
    </row>
    <row r="9" ht="22" customHeight="1" spans="1:14">
      <c r="A9" s="5">
        <v>7</v>
      </c>
      <c r="B9" s="5" t="s">
        <v>342</v>
      </c>
      <c r="C9" s="5" t="s">
        <v>148</v>
      </c>
      <c r="D9" s="5" t="s">
        <v>149</v>
      </c>
      <c r="E9" s="5" t="s">
        <v>150</v>
      </c>
      <c r="F9" s="5" t="s">
        <v>7</v>
      </c>
      <c r="G9" s="5" t="s">
        <v>60</v>
      </c>
      <c r="H9" s="6" t="s">
        <v>14</v>
      </c>
      <c r="I9" s="7" t="s">
        <v>93</v>
      </c>
      <c r="J9" s="5" t="s">
        <v>7</v>
      </c>
      <c r="K9" s="5" t="s">
        <v>7</v>
      </c>
      <c r="L9" s="5" t="s">
        <v>343</v>
      </c>
      <c r="M9" s="5" t="s">
        <v>145</v>
      </c>
      <c r="N9" s="5" t="s">
        <v>155</v>
      </c>
    </row>
    <row r="10" ht="22" customHeight="1" spans="1:14">
      <c r="A10" s="8">
        <v>8</v>
      </c>
      <c r="B10" s="8" t="s">
        <v>342</v>
      </c>
      <c r="C10" s="8" t="s">
        <v>156</v>
      </c>
      <c r="D10" s="8" t="s">
        <v>157</v>
      </c>
      <c r="E10" s="8" t="s">
        <v>159</v>
      </c>
      <c r="F10" s="8" t="s">
        <v>160</v>
      </c>
      <c r="G10" s="8" t="s">
        <v>114</v>
      </c>
      <c r="H10" s="9" t="s">
        <v>16</v>
      </c>
      <c r="I10" s="6" t="s">
        <v>118</v>
      </c>
      <c r="J10" s="8" t="s">
        <v>164</v>
      </c>
      <c r="K10" s="8" t="s">
        <v>165</v>
      </c>
      <c r="L10" s="8" t="s">
        <v>166</v>
      </c>
      <c r="M10" s="8" t="s">
        <v>167</v>
      </c>
      <c r="N10" s="8" t="s">
        <v>344</v>
      </c>
    </row>
    <row r="11" ht="22" customHeight="1" spans="1:14">
      <c r="A11" s="5">
        <v>9</v>
      </c>
      <c r="B11" s="5" t="s">
        <v>345</v>
      </c>
      <c r="C11" s="5" t="s">
        <v>186</v>
      </c>
      <c r="D11" s="5" t="s">
        <v>187</v>
      </c>
      <c r="E11" s="5" t="s">
        <v>189</v>
      </c>
      <c r="F11" s="5" t="s">
        <v>190</v>
      </c>
      <c r="G11" s="5" t="s">
        <v>51</v>
      </c>
      <c r="H11" s="10" t="s">
        <v>18</v>
      </c>
      <c r="I11" s="7" t="s">
        <v>93</v>
      </c>
      <c r="J11" s="5" t="s">
        <v>142</v>
      </c>
      <c r="K11" s="5" t="s">
        <v>120</v>
      </c>
      <c r="L11" s="5" t="s">
        <v>194</v>
      </c>
      <c r="M11" s="5" t="s">
        <v>195</v>
      </c>
      <c r="N11" s="5" t="s">
        <v>196</v>
      </c>
    </row>
    <row r="12" ht="22" customHeight="1" spans="1:14">
      <c r="A12" s="8">
        <v>10</v>
      </c>
      <c r="B12" s="8" t="s">
        <v>345</v>
      </c>
      <c r="C12" s="8" t="s">
        <v>214</v>
      </c>
      <c r="D12" s="8" t="s">
        <v>215</v>
      </c>
      <c r="E12" s="8" t="s">
        <v>217</v>
      </c>
      <c r="F12" s="8" t="s">
        <v>218</v>
      </c>
      <c r="G12" s="8" t="s">
        <v>60</v>
      </c>
      <c r="H12" s="6" t="s">
        <v>20</v>
      </c>
      <c r="I12" s="7" t="s">
        <v>93</v>
      </c>
      <c r="J12" s="8" t="s">
        <v>119</v>
      </c>
      <c r="K12" s="8" t="s">
        <v>222</v>
      </c>
      <c r="L12" s="8" t="s">
        <v>223</v>
      </c>
      <c r="M12" s="8" t="s">
        <v>224</v>
      </c>
      <c r="N12" s="8" t="s">
        <v>346</v>
      </c>
    </row>
    <row r="13" ht="22" customHeight="1" spans="1:14">
      <c r="A13" s="5">
        <v>11</v>
      </c>
      <c r="B13" s="5" t="s">
        <v>347</v>
      </c>
      <c r="C13" s="5" t="s">
        <v>252</v>
      </c>
      <c r="D13" s="5" t="s">
        <v>253</v>
      </c>
      <c r="E13" s="5" t="s">
        <v>254</v>
      </c>
      <c r="F13" s="5" t="s">
        <v>255</v>
      </c>
      <c r="G13" s="5" t="s">
        <v>51</v>
      </c>
      <c r="H13" s="10" t="s">
        <v>18</v>
      </c>
      <c r="I13" s="7" t="s">
        <v>93</v>
      </c>
      <c r="J13" s="5" t="s">
        <v>164</v>
      </c>
      <c r="K13" s="5" t="s">
        <v>120</v>
      </c>
      <c r="L13" s="5" t="s">
        <v>348</v>
      </c>
      <c r="M13" s="5" t="s">
        <v>260</v>
      </c>
      <c r="N13" s="5" t="s">
        <v>349</v>
      </c>
    </row>
    <row r="14" ht="22" customHeight="1" spans="1:14">
      <c r="A14" s="8">
        <v>12</v>
      </c>
      <c r="B14" s="8" t="s">
        <v>347</v>
      </c>
      <c r="C14" s="8" t="s">
        <v>235</v>
      </c>
      <c r="D14" s="8" t="s">
        <v>236</v>
      </c>
      <c r="E14" s="8" t="s">
        <v>237</v>
      </c>
      <c r="F14" s="8" t="s">
        <v>238</v>
      </c>
      <c r="G14" s="8" t="s">
        <v>138</v>
      </c>
      <c r="H14" s="9" t="s">
        <v>16</v>
      </c>
      <c r="I14" s="7" t="s">
        <v>93</v>
      </c>
      <c r="J14" s="8" t="s">
        <v>241</v>
      </c>
      <c r="K14" s="8" t="s">
        <v>242</v>
      </c>
      <c r="L14" s="8" t="s">
        <v>350</v>
      </c>
      <c r="M14" s="8" t="s">
        <v>205</v>
      </c>
      <c r="N14" s="8" t="s">
        <v>351</v>
      </c>
    </row>
    <row r="15" ht="22" customHeight="1" spans="1:14">
      <c r="A15" s="5">
        <v>13</v>
      </c>
      <c r="B15" s="5" t="s">
        <v>352</v>
      </c>
      <c r="C15" s="5" t="s">
        <v>263</v>
      </c>
      <c r="D15" s="5" t="s">
        <v>264</v>
      </c>
      <c r="E15" s="5" t="s">
        <v>266</v>
      </c>
      <c r="F15" s="5" t="s">
        <v>267</v>
      </c>
      <c r="G15" s="5" t="s">
        <v>51</v>
      </c>
      <c r="H15" s="6" t="s">
        <v>14</v>
      </c>
      <c r="I15" s="7" t="s">
        <v>93</v>
      </c>
      <c r="J15" s="5" t="s">
        <v>7</v>
      </c>
      <c r="K15" s="5" t="s">
        <v>7</v>
      </c>
      <c r="L15" s="5" t="s">
        <v>353</v>
      </c>
      <c r="M15" s="5" t="s">
        <v>272</v>
      </c>
      <c r="N15" s="5" t="s">
        <v>354</v>
      </c>
    </row>
    <row r="16" ht="22" customHeight="1" spans="1:14">
      <c r="A16" s="8">
        <v>14</v>
      </c>
      <c r="B16" s="8" t="s">
        <v>355</v>
      </c>
      <c r="C16" s="8" t="s">
        <v>300</v>
      </c>
      <c r="D16" s="8" t="s">
        <v>301</v>
      </c>
      <c r="E16" s="8" t="s">
        <v>303</v>
      </c>
      <c r="F16" s="8" t="s">
        <v>304</v>
      </c>
      <c r="G16" s="8" t="s">
        <v>51</v>
      </c>
      <c r="H16" s="10" t="s">
        <v>18</v>
      </c>
      <c r="I16" s="6" t="s">
        <v>118</v>
      </c>
      <c r="J16" s="8" t="s">
        <v>241</v>
      </c>
      <c r="K16" s="8" t="s">
        <v>242</v>
      </c>
      <c r="L16" s="8" t="s">
        <v>308</v>
      </c>
      <c r="M16" s="8" t="s">
        <v>132</v>
      </c>
      <c r="N16" s="8" t="s">
        <v>356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📊 Dashboard</vt:lpstr>
      <vt:lpstr>🏥 Aesthetic Clinics</vt:lpstr>
      <vt:lpstr>🎓 Schools &amp; Education</vt:lpstr>
      <vt:lpstr>🍽️ Restaurants &amp; Food</vt:lpstr>
      <vt:lpstr>🏢 Corporate &amp; SME</vt:lpstr>
      <vt:lpstr>🛍️ Retail &amp; Fashion</vt:lpstr>
      <vt:lpstr>🏗️ Real Estate</vt:lpstr>
      <vt:lpstr>💊 Health &amp; Wellness</vt:lpstr>
      <vt:lpstr>📋 Master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Huzaifa Ashraf</cp:lastModifiedBy>
  <dcterms:created xsi:type="dcterms:W3CDTF">2026-05-04T11:16:00Z</dcterms:created>
  <dcterms:modified xsi:type="dcterms:W3CDTF">2026-05-04T21:18:13Z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C3742F1FAEB24EA9965B0A8FE59C07C6_12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